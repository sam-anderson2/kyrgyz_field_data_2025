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mc:AlternateContent xmlns:mc="http://schemas.openxmlformats.org/markup-compatibility/2006">
    <mc:Choice Requires="x15">
      <x15ac:absPath xmlns:x15ac="http://schemas.microsoft.com/office/spreadsheetml/2010/11/ac" url="C:\Users\limon\Downloads\"/>
    </mc:Choice>
  </mc:AlternateContent>
  <xr:revisionPtr revIDLastSave="0" documentId="8_{D83D97E2-6462-4FB2-85A8-F2E3E882B851}" xr6:coauthVersionLast="47" xr6:coauthVersionMax="47" xr10:uidLastSave="{00000000-0000-0000-0000-000000000000}"/>
  <bookViews>
    <workbookView xWindow="-120" yWindow="-120" windowWidth="29040" windowHeight="15720" firstSheet="12" activeTab="13" xr2:uid="{00000000-000D-0000-FFFF-FFFF00000000}"/>
  </bookViews>
  <sheets>
    <sheet name="AA11" sheetId="1" r:id="rId1"/>
    <sheet name="AA21" sheetId="4" r:id="rId2"/>
    <sheet name="AA21T" sheetId="16" r:id="rId3"/>
    <sheet name="AA22" sheetId="3" r:id="rId4"/>
    <sheet name="AA31" sheetId="2" r:id="rId5"/>
    <sheet name="AL41" sheetId="17" r:id="rId6"/>
    <sheet name="AL42" sheetId="5" r:id="rId7"/>
    <sheet name="AL43" sheetId="10" r:id="rId8"/>
    <sheet name="AL51" sheetId="6" r:id="rId9"/>
    <sheet name="AA61" sheetId="7" r:id="rId10"/>
    <sheet name="AL71" sheetId="9" r:id="rId11"/>
    <sheet name="AL72" sheetId="8" r:id="rId12"/>
    <sheet name="data" sheetId="23" r:id="rId13"/>
    <sheet name="RHEM_modeling" sheetId="21" r:id="rId14"/>
    <sheet name="NIR_data" sheetId="19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7" l="1"/>
  <c r="E9" i="1"/>
  <c r="E9" i="4"/>
  <c r="E9" i="16"/>
  <c r="E9" i="3"/>
  <c r="E9" i="2"/>
  <c r="E9" i="5"/>
  <c r="E9" i="10"/>
  <c r="E9" i="6"/>
  <c r="E9" i="7"/>
  <c r="E9" i="9"/>
  <c r="E9" i="8"/>
</calcChain>
</file>

<file path=xl/sharedStrings.xml><?xml version="1.0" encoding="utf-8"?>
<sst xmlns="http://schemas.openxmlformats.org/spreadsheetml/2006/main" count="1800" uniqueCount="427">
  <si>
    <t>Transect_ID</t>
  </si>
  <si>
    <t>Date</t>
  </si>
  <si>
    <t>Latitude_decimal</t>
  </si>
  <si>
    <t>Longitude_decimal</t>
  </si>
  <si>
    <t>Elevation_m</t>
  </si>
  <si>
    <t>Aggregate_Stability_Score</t>
  </si>
  <si>
    <t>Penetrometer_kg_cm2</t>
  </si>
  <si>
    <t>Plant_Type_Code</t>
  </si>
  <si>
    <t>Plant_Height_cm</t>
  </si>
  <si>
    <t>Litter_Depth_cm</t>
  </si>
  <si>
    <t>Feces_Count</t>
  </si>
  <si>
    <t>Dominant_Ecologic_Community</t>
  </si>
  <si>
    <t>c1</t>
  </si>
  <si>
    <t>c2</t>
  </si>
  <si>
    <t>r2</t>
  </si>
  <si>
    <t>alpha</t>
  </si>
  <si>
    <t>n</t>
  </si>
  <si>
    <t>theta_i</t>
  </si>
  <si>
    <t>theta_s</t>
  </si>
  <si>
    <t>a1</t>
  </si>
  <si>
    <t>a2</t>
  </si>
  <si>
    <t>S_cm_s0_5</t>
  </si>
  <si>
    <t>Kh_cm_s</t>
  </si>
  <si>
    <t>S_mm_hr0_5</t>
  </si>
  <si>
    <t>Kh_mm_hr</t>
  </si>
  <si>
    <t>AA1.1</t>
  </si>
  <si>
    <t>AG</t>
  </si>
  <si>
    <t>PF, alpine meadow, 2500m elevation</t>
  </si>
  <si>
    <t>PF</t>
  </si>
  <si>
    <t>M</t>
  </si>
  <si>
    <t>R</t>
  </si>
  <si>
    <t>PG</t>
  </si>
  <si>
    <t>AA2.1</t>
  </si>
  <si>
    <t>Ungrazed meadow, 2000m</t>
  </si>
  <si>
    <t>S</t>
  </si>
  <si>
    <t>WD</t>
  </si>
  <si>
    <t>D</t>
  </si>
  <si>
    <t xml:space="preserve">PF </t>
  </si>
  <si>
    <t>AF</t>
  </si>
  <si>
    <t>Mixed conifer juniper forest, 2000m</t>
  </si>
  <si>
    <t>PF, UNDER TREE</t>
  </si>
  <si>
    <t>AG, UNDER TREE</t>
  </si>
  <si>
    <t>TREE</t>
  </si>
  <si>
    <t>BS</t>
  </si>
  <si>
    <t>L</t>
  </si>
  <si>
    <t>AA2.2</t>
  </si>
  <si>
    <t>Base of Ala Archa, disturbed sagebrush shrubland</t>
  </si>
  <si>
    <t>SD</t>
  </si>
  <si>
    <t>AA3.1</t>
  </si>
  <si>
    <t>Ungrazed alpine Jailoo 3000m</t>
  </si>
  <si>
    <t>MOSS</t>
  </si>
  <si>
    <t>AL4.1</t>
  </si>
  <si>
    <t>Pinyon juniper forest at 2000m</t>
  </si>
  <si>
    <t>Grazed meadow at 2500m</t>
  </si>
  <si>
    <t>P</t>
  </si>
  <si>
    <t>AL4.3</t>
  </si>
  <si>
    <t>Grazed shrubland, 1500m</t>
  </si>
  <si>
    <t>42.559828456° N</t>
  </si>
  <si>
    <t>74.649164854° E</t>
  </si>
  <si>
    <t>Grazed 2500m shrubland</t>
  </si>
  <si>
    <t>42.560006739° N</t>
  </si>
  <si>
    <t>74.649334671° E</t>
  </si>
  <si>
    <t>2500m Ungrazed forest</t>
  </si>
  <si>
    <t>42.553533143° N</t>
  </si>
  <si>
    <t>74.646058269° E</t>
  </si>
  <si>
    <t>Grazed alpine jailoo, 2500m</t>
  </si>
  <si>
    <t>42.553769986° N</t>
  </si>
  <si>
    <t>74.646300415° E</t>
  </si>
  <si>
    <t>AL7.2</t>
  </si>
  <si>
    <t xml:space="preserve">Grazed alpine Jailoo, 3000m </t>
  </si>
  <si>
    <t>field_name</t>
  </si>
  <si>
    <t>Elevation</t>
  </si>
  <si>
    <t>organic_matter_%</t>
  </si>
  <si>
    <t>agg_stability_average</t>
  </si>
  <si>
    <t>agg_stability_median</t>
  </si>
  <si>
    <t>agg_stability_max</t>
  </si>
  <si>
    <t>agg_stability_min</t>
  </si>
  <si>
    <t>agg_stability_stddev</t>
  </si>
  <si>
    <t>penetrometer_average</t>
  </si>
  <si>
    <t>penetrometer_median</t>
  </si>
  <si>
    <t>penetrometer_max</t>
  </si>
  <si>
    <t>penetrometer_min</t>
  </si>
  <si>
    <t>penetrometer_stddev</t>
  </si>
  <si>
    <t>plant_height_average_mm</t>
  </si>
  <si>
    <t>plant_height_median_mm</t>
  </si>
  <si>
    <t>plant_height_max_mm</t>
  </si>
  <si>
    <t>plant_height_min_mm</t>
  </si>
  <si>
    <t>plant_height_stddev_mm</t>
  </si>
  <si>
    <t>litter_depth_average_mm</t>
  </si>
  <si>
    <t>litter_depth_median_mm</t>
  </si>
  <si>
    <t>litter_depth_max_mm</t>
  </si>
  <si>
    <t>litter_depth_min_mm</t>
  </si>
  <si>
    <t>litter_depth_stddev_mm</t>
  </si>
  <si>
    <t>feces_count</t>
  </si>
  <si>
    <t>field_ID</t>
  </si>
  <si>
    <t>sorptivity_average_mm_hr</t>
  </si>
  <si>
    <t>sorptivity_median_mm_hr</t>
  </si>
  <si>
    <t>sorptivity_max_mm_hr</t>
  </si>
  <si>
    <t>sorptivity_min_mm_hr</t>
  </si>
  <si>
    <t>sorptivity_stddev_mm_hr</t>
  </si>
  <si>
    <t>kh_average</t>
  </si>
  <si>
    <t>kh_median_mm_hr</t>
  </si>
  <si>
    <t>kh_max_mm_hr</t>
  </si>
  <si>
    <t>kh_min_mm_hr</t>
  </si>
  <si>
    <t>kh_stddev_mm_hr</t>
  </si>
  <si>
    <t>ID</t>
  </si>
  <si>
    <t>avg_runoff_mm_yr</t>
  </si>
  <si>
    <t>avg_sediment_yield_mg_ha_yr</t>
  </si>
  <si>
    <t>avg_soil_loss_mg_ha_year</t>
  </si>
  <si>
    <t>MAX_DAILY_Rain_2yr</t>
  </si>
  <si>
    <t>MAX_DAILY_Rain_5yr</t>
  </si>
  <si>
    <t>MAX_DAILY_Rain_10yr</t>
  </si>
  <si>
    <t>MAX_DAILY_Rain_25yr</t>
  </si>
  <si>
    <t>MAX_DAILY_Rain_50yr</t>
  </si>
  <si>
    <t>MAX_DAILY_Rain_100yr</t>
  </si>
  <si>
    <t>MAX_DAILY_Runoff_2yr</t>
  </si>
  <si>
    <t>MAX_DAILY_Runoff_5yr</t>
  </si>
  <si>
    <t>MAX_DAILY_Runoff_10yr</t>
  </si>
  <si>
    <t>MAX_DAILY_Runoff_25yr</t>
  </si>
  <si>
    <t>MAX_DAILY_Runoff_50yr</t>
  </si>
  <si>
    <t>MAX_DAILY_Runoff_100yr</t>
  </si>
  <si>
    <t>MAX_DAILY_SoilLoss_2yr</t>
  </si>
  <si>
    <t>MAX_DAILY_SoilLoss_5yr</t>
  </si>
  <si>
    <t>MAX_DAILY_SoilLoss_10yr</t>
  </si>
  <si>
    <t>MAX_DAILY_SoilLoss_25yr</t>
  </si>
  <si>
    <t>MAX_DAILY_SoilLoss_50yr</t>
  </si>
  <si>
    <t>MAX_DAILY_SoilLoss_100yr</t>
  </si>
  <si>
    <t>MAX_DAILY_SedYield_2yr</t>
  </si>
  <si>
    <t>MAX_DAILY_SedYield_5yr</t>
  </si>
  <si>
    <t>MAX_DAILY_SedYield_10yr</t>
  </si>
  <si>
    <t>MAX_DAILY_SedYield_25yr</t>
  </si>
  <si>
    <t>MAX_DAILY_SedYield_50yr</t>
  </si>
  <si>
    <t>MAX_DAILY_SedYield_100yr</t>
  </si>
  <si>
    <t>TOTALS_Rain_2yr</t>
  </si>
  <si>
    <t>TOTALS_Rain_5yr</t>
  </si>
  <si>
    <t>TOTALS_Rain_10yr</t>
  </si>
  <si>
    <t>TOTALS_Rain_25yr</t>
  </si>
  <si>
    <t>TOTALS_Rain_50yr</t>
  </si>
  <si>
    <t>TOTALS_Rain_100yr</t>
  </si>
  <si>
    <t>TOTALS_Runoff_2yr</t>
  </si>
  <si>
    <t>TOTALS_Runoff_5yr</t>
  </si>
  <si>
    <t>TOTALS_Runoff_10yr</t>
  </si>
  <si>
    <t>TOTALS_Runoff_25yr</t>
  </si>
  <si>
    <t>TOTALS_Runoff_50yr</t>
  </si>
  <si>
    <t>TOTALS_Runoff_100yr</t>
  </si>
  <si>
    <t>TOTALS_SoilLoss_2yr</t>
  </si>
  <si>
    <t>TOTALS_SoilLoss_5yr</t>
  </si>
  <si>
    <t>TOTALS_SoilLoss_10yr</t>
  </si>
  <si>
    <t>TOTALS_SoilLoss_25yr</t>
  </si>
  <si>
    <t>TOTALS_SoilLoss_50yr</t>
  </si>
  <si>
    <t>TOTALS_SoilLoss_100yr</t>
  </si>
  <si>
    <t>TOTALS_SedYield_2yr</t>
  </si>
  <si>
    <t>TOTALS_SedYield_5yr</t>
  </si>
  <si>
    <t>TOTALS_SedYield_10yr</t>
  </si>
  <si>
    <t>TOTALS_SedYield_25yr</t>
  </si>
  <si>
    <t>TOTALS_SedYield_50yr</t>
  </si>
  <si>
    <t>TOTALS_SedYield_100yr</t>
  </si>
  <si>
    <t>AA31</t>
  </si>
  <si>
    <t>12</t>
  </si>
  <si>
    <t>AA61</t>
  </si>
  <si>
    <t>14</t>
  </si>
  <si>
    <t>AA11</t>
  </si>
  <si>
    <t>8.6</t>
  </si>
  <si>
    <t>AA21T</t>
  </si>
  <si>
    <t>8.9</t>
  </si>
  <si>
    <t>AA21</t>
  </si>
  <si>
    <t>7.9</t>
  </si>
  <si>
    <t>AA22</t>
  </si>
  <si>
    <t>3.9</t>
  </si>
  <si>
    <t>AL72</t>
  </si>
  <si>
    <t>7.4</t>
  </si>
  <si>
    <t>AL71</t>
  </si>
  <si>
    <t>15</t>
  </si>
  <si>
    <t>AL51</t>
  </si>
  <si>
    <t>8.0</t>
  </si>
  <si>
    <t>AL41</t>
  </si>
  <si>
    <t>4.1</t>
  </si>
  <si>
    <t>AL42</t>
  </si>
  <si>
    <t>4.0</t>
  </si>
  <si>
    <t>AL43</t>
  </si>
  <si>
    <t>field_id</t>
  </si>
  <si>
    <t>Slope Steepness %</t>
  </si>
  <si>
    <t>Bunch Grass Foliar Cover %</t>
  </si>
  <si>
    <t>Forbs and/or Annual Grasses Foliar Cover %</t>
  </si>
  <si>
    <t>Shrubs Foliar Cover %</t>
  </si>
  <si>
    <t>Total Foliar Cover %</t>
  </si>
  <si>
    <t>Basal Cover %</t>
  </si>
  <si>
    <t>Rock Cover %</t>
  </si>
  <si>
    <t>Litter Cover %</t>
  </si>
  <si>
    <t>Biological Crusts Cover %</t>
  </si>
  <si>
    <t>Total Ground Cover %</t>
  </si>
  <si>
    <t>Avg. Precipitation (mm/year)</t>
  </si>
  <si>
    <t>Avg. Runoff (mm/year)</t>
  </si>
  <si>
    <t>Avg. Sediment Yield (Mg/ha/year)</t>
  </si>
  <si>
    <t>Avg. Soil Loss (Mg/ha/year)</t>
  </si>
  <si>
    <t>A21_TREE</t>
  </si>
  <si>
    <t>AL61</t>
  </si>
  <si>
    <t>Order ID</t>
  </si>
  <si>
    <t>Device Serial Number</t>
  </si>
  <si>
    <t>Client Country</t>
  </si>
  <si>
    <t>Order Latitude</t>
  </si>
  <si>
    <t>Order Longitude</t>
  </si>
  <si>
    <t>Field Latitude</t>
  </si>
  <si>
    <t>Field Longitude</t>
  </si>
  <si>
    <t>Field Country</t>
  </si>
  <si>
    <t>Field Name</t>
  </si>
  <si>
    <t>Order Type</t>
  </si>
  <si>
    <t>App Name</t>
  </si>
  <si>
    <t>Creation Date</t>
  </si>
  <si>
    <t>Soil Texture</t>
  </si>
  <si>
    <t>pH (water)</t>
  </si>
  <si>
    <t>pH (water)_Unit</t>
  </si>
  <si>
    <t>pH (water)_Min</t>
  </si>
  <si>
    <t>pH (water)_Max</t>
  </si>
  <si>
    <t>Total Nitrogen</t>
  </si>
  <si>
    <t>Total Nitrogen_Unit</t>
  </si>
  <si>
    <t>Total Nitrogen_Min</t>
  </si>
  <si>
    <t>Total Nitrogen_Max</t>
  </si>
  <si>
    <t>Total Zinc</t>
  </si>
  <si>
    <t>Total Zinc_Unit</t>
  </si>
  <si>
    <t>Total Zinc_Min</t>
  </si>
  <si>
    <t>Total Zinc_Max</t>
  </si>
  <si>
    <t>Total Aluminium</t>
  </si>
  <si>
    <t>Total Aluminium_Unit</t>
  </si>
  <si>
    <t>Total Aluminium_Min</t>
  </si>
  <si>
    <t>Total Aluminium_Max</t>
  </si>
  <si>
    <t>Total Iron</t>
  </si>
  <si>
    <t>Total Iron_Unit</t>
  </si>
  <si>
    <t>Total Iron_Min</t>
  </si>
  <si>
    <t>Total Iron_Max</t>
  </si>
  <si>
    <t>Phosphorus (M3)</t>
  </si>
  <si>
    <t>Phosphorus (M3)_Unit</t>
  </si>
  <si>
    <t>Phosphorus (M3)_Min</t>
  </si>
  <si>
    <t>Phosphorus (M3)_Max</t>
  </si>
  <si>
    <t>Clay</t>
  </si>
  <si>
    <t>Clay_Unit</t>
  </si>
  <si>
    <t>Clay_Min</t>
  </si>
  <si>
    <t>Clay_Max</t>
  </si>
  <si>
    <t>Cation Exchange Capacity</t>
  </si>
  <si>
    <t>Cation Exchange Capacity_Unit</t>
  </si>
  <si>
    <t>Cation Exchange Capacity_Min</t>
  </si>
  <si>
    <t>Cation Exchange Capacity_Max</t>
  </si>
  <si>
    <t>Calcium (exch.)</t>
  </si>
  <si>
    <t>Calcium (exch.)_Unit</t>
  </si>
  <si>
    <t>Calcium (exch.)_Min</t>
  </si>
  <si>
    <t>Calcium (exch.)_Max</t>
  </si>
  <si>
    <t>Potassium (exch.)</t>
  </si>
  <si>
    <t>Potassium (exch.)_Unit</t>
  </si>
  <si>
    <t>Potassium (exch.)_Min</t>
  </si>
  <si>
    <t>Potassium (exch.)_Max</t>
  </si>
  <si>
    <t>Magnesium (exch.)</t>
  </si>
  <si>
    <t>Magnesium (exch.)_Unit</t>
  </si>
  <si>
    <t>Magnesium (exch.)_Min</t>
  </si>
  <si>
    <t>Magnesium (exch.)_Max</t>
  </si>
  <si>
    <t>Organic matter</t>
  </si>
  <si>
    <t>Organic matter_Unit</t>
  </si>
  <si>
    <t>Organic matter_Min</t>
  </si>
  <si>
    <t>Organic matter_Max</t>
  </si>
  <si>
    <t>Soil Moisture</t>
  </si>
  <si>
    <t>Soil Moisture_Unit</t>
  </si>
  <si>
    <t>Soil Moisture_Min</t>
  </si>
  <si>
    <t>Soil Moisture_Max</t>
  </si>
  <si>
    <t>Potentially Mineralizable Nitrogen</t>
  </si>
  <si>
    <t>Potentially Mineralizable Nitrogen_Unit</t>
  </si>
  <si>
    <t>Potentially Mineralizable Nitrogen_Min</t>
  </si>
  <si>
    <t>Potentially Mineralizable Nitrogen_Max</t>
  </si>
  <si>
    <t>SC3630F</t>
  </si>
  <si>
    <t>Kyrgyzstan</t>
  </si>
  <si>
    <t>74.648889</t>
  </si>
  <si>
    <t>42.559722</t>
  </si>
  <si>
    <t>Soil Analysis</t>
  </si>
  <si>
    <t>Agrocares Scanner Solutions</t>
  </si>
  <si>
    <t>10/09/2025 12:46:21</t>
  </si>
  <si>
    <t>Clay loam</t>
  </si>
  <si>
    <t>6.2</t>
  </si>
  <si>
    <t xml:space="preserve"> -</t>
  </si>
  <si>
    <t>6.0</t>
  </si>
  <si>
    <t>7.2</t>
  </si>
  <si>
    <t>4.3</t>
  </si>
  <si>
    <t>g/kg</t>
  </si>
  <si>
    <t>1.0</t>
  </si>
  <si>
    <t>2.0</t>
  </si>
  <si>
    <t>127</t>
  </si>
  <si>
    <t>ppm</t>
  </si>
  <si>
    <t>25.0</t>
  </si>
  <si>
    <t>60.0</t>
  </si>
  <si>
    <t>54</t>
  </si>
  <si>
    <t>94.0</t>
  </si>
  <si>
    <t>115.0</t>
  </si>
  <si>
    <t>35</t>
  </si>
  <si>
    <t>5.0</t>
  </si>
  <si>
    <t>71</t>
  </si>
  <si>
    <t>mg/kg</t>
  </si>
  <si>
    <t>20.0</t>
  </si>
  <si>
    <t>40.0</t>
  </si>
  <si>
    <t>28</t>
  </si>
  <si>
    <t>%</t>
  </si>
  <si>
    <t>227</t>
  </si>
  <si>
    <t>mmol+/kg</t>
  </si>
  <si>
    <t>75.0</t>
  </si>
  <si>
    <t>200.0</t>
  </si>
  <si>
    <t>190</t>
  </si>
  <si>
    <t>15.0</t>
  </si>
  <si>
    <t>5.6</t>
  </si>
  <si>
    <t>1.5</t>
  </si>
  <si>
    <t>3.0</t>
  </si>
  <si>
    <t>40</t>
  </si>
  <si>
    <t>4.5</t>
  </si>
  <si>
    <t>10.0</t>
  </si>
  <si>
    <t>2.9</t>
  </si>
  <si>
    <t>30.0</t>
  </si>
  <si>
    <t>175</t>
  </si>
  <si>
    <t>mg N/kg</t>
  </si>
  <si>
    <t>22.0</t>
  </si>
  <si>
    <t>32.0</t>
  </si>
  <si>
    <t>10/09/2025 12:41:10</t>
  </si>
  <si>
    <t>Silty clay loam</t>
  </si>
  <si>
    <t>6.8</t>
  </si>
  <si>
    <t>7.0</t>
  </si>
  <si>
    <t>135</t>
  </si>
  <si>
    <t>49</t>
  </si>
  <si>
    <t>37</t>
  </si>
  <si>
    <t>18</t>
  </si>
  <si>
    <t>450</t>
  </si>
  <si>
    <t>404</t>
  </si>
  <si>
    <t>7.7</t>
  </si>
  <si>
    <t>63</t>
  </si>
  <si>
    <t>33</t>
  </si>
  <si>
    <t>299</t>
  </si>
  <si>
    <t>10/09/2025 12:34:22</t>
  </si>
  <si>
    <t>Silty loam</t>
  </si>
  <si>
    <t>6.4</t>
  </si>
  <si>
    <t>114</t>
  </si>
  <si>
    <t>44</t>
  </si>
  <si>
    <t>36</t>
  </si>
  <si>
    <t>46</t>
  </si>
  <si>
    <t>23</t>
  </si>
  <si>
    <t>476</t>
  </si>
  <si>
    <t>434</t>
  </si>
  <si>
    <t>6.5</t>
  </si>
  <si>
    <t>273</t>
  </si>
  <si>
    <t>10/09/2025 12:27:51</t>
  </si>
  <si>
    <t>7.1</t>
  </si>
  <si>
    <t>2.7</t>
  </si>
  <si>
    <t>117</t>
  </si>
  <si>
    <t>75</t>
  </si>
  <si>
    <t>11</t>
  </si>
  <si>
    <t>155</t>
  </si>
  <si>
    <t>2.5</t>
  </si>
  <si>
    <t>5.1</t>
  </si>
  <si>
    <t>102</t>
  </si>
  <si>
    <t>10/09/2025 12:22:20</t>
  </si>
  <si>
    <t>Loam</t>
  </si>
  <si>
    <t>104</t>
  </si>
  <si>
    <t>57</t>
  </si>
  <si>
    <t>31</t>
  </si>
  <si>
    <t>42</t>
  </si>
  <si>
    <t>26</t>
  </si>
  <si>
    <t>209</t>
  </si>
  <si>
    <t>203</t>
  </si>
  <si>
    <t>3.6</t>
  </si>
  <si>
    <t>22</t>
  </si>
  <si>
    <t>8.4</t>
  </si>
  <si>
    <t>118</t>
  </si>
  <si>
    <t>10/09/2025 12:16:54</t>
  </si>
  <si>
    <t>2.8</t>
  </si>
  <si>
    <t>106</t>
  </si>
  <si>
    <t>59</t>
  </si>
  <si>
    <t>32</t>
  </si>
  <si>
    <t>164</t>
  </si>
  <si>
    <t>140</t>
  </si>
  <si>
    <t>2.6</t>
  </si>
  <si>
    <t>21</t>
  </si>
  <si>
    <t>109</t>
  </si>
  <si>
    <t>10/09/2025 12:08:47</t>
  </si>
  <si>
    <t>5.4</t>
  </si>
  <si>
    <t>30</t>
  </si>
  <si>
    <t>58</t>
  </si>
  <si>
    <t>283</t>
  </si>
  <si>
    <t>222</t>
  </si>
  <si>
    <t>53</t>
  </si>
  <si>
    <t>10/09/2025 12:03:09</t>
  </si>
  <si>
    <t>98</t>
  </si>
  <si>
    <t>60</t>
  </si>
  <si>
    <t>27</t>
  </si>
  <si>
    <t>19</t>
  </si>
  <si>
    <t>29</t>
  </si>
  <si>
    <t>204</t>
  </si>
  <si>
    <t>193</t>
  </si>
  <si>
    <t>3.7</t>
  </si>
  <si>
    <t>24</t>
  </si>
  <si>
    <t>4.9</t>
  </si>
  <si>
    <t>116</t>
  </si>
  <si>
    <t>10/09/2025 11:57:34</t>
  </si>
  <si>
    <t>119</t>
  </si>
  <si>
    <t>55</t>
  </si>
  <si>
    <t>329</t>
  </si>
  <si>
    <t>289</t>
  </si>
  <si>
    <t>8.5</t>
  </si>
  <si>
    <t>52</t>
  </si>
  <si>
    <t>202</t>
  </si>
  <si>
    <t>10/09/2025 11:51:48</t>
  </si>
  <si>
    <t>61</t>
  </si>
  <si>
    <t>38</t>
  </si>
  <si>
    <t>25</t>
  </si>
  <si>
    <t>362</t>
  </si>
  <si>
    <t>340</t>
  </si>
  <si>
    <t>47</t>
  </si>
  <si>
    <t>205</t>
  </si>
  <si>
    <t>10/09/2025 10:48:54</t>
  </si>
  <si>
    <t>5.2</t>
  </si>
  <si>
    <t>134</t>
  </si>
  <si>
    <t>56</t>
  </si>
  <si>
    <t>65</t>
  </si>
  <si>
    <t>311</t>
  </si>
  <si>
    <t>288</t>
  </si>
  <si>
    <t>6.1</t>
  </si>
  <si>
    <t>20</t>
  </si>
  <si>
    <t>215</t>
  </si>
  <si>
    <t>74.478889</t>
  </si>
  <si>
    <t>42.523611</t>
  </si>
  <si>
    <t>10/09/2025 10:38:34</t>
  </si>
  <si>
    <t>3.8</t>
  </si>
  <si>
    <t>50</t>
  </si>
  <si>
    <t>230</t>
  </si>
  <si>
    <t>160</t>
  </si>
  <si>
    <t>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</si>
</sst>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Display"/>
      <scheme val="major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sz val="10"/>
      <name val="Aptos Display"/>
      <scheme val="major"/>
    </font>
    <font>
      <b/>
      <sz val="11"/>
      <name val="Aptos Display"/>
      <scheme val="major"/>
    </font>
    <font>
      <b/>
      <sz val="11"/>
      <color theme="1"/>
      <name val="Aptos Display"/>
      <scheme val="major"/>
    </font>
    <font>
      <sz val="11"/>
      <color rgb="FF000000"/>
      <name val="Aptos Narrow"/>
      <family val="2"/>
      <scheme val="minor"/>
    </font>
    <font>
      <sz val="11"/>
      <color rgb="FFFF0000"/>
      <name val="Aptos Display"/>
      <scheme val="major"/>
    </font>
    <font>
      <b/>
      <sz val="11"/>
      <color rgb="FFFF0000"/>
      <name val="Aptos Display"/>
      <scheme val="maj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3" fillId="0" borderId="0" xfId="0" applyFont="1"/>
    <xf numFmtId="11" fontId="3" fillId="0" borderId="0" xfId="0" applyNumberFormat="1" applyFont="1"/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0" fillId="3" borderId="0" xfId="0" applyFill="1"/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3" borderId="3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10" fillId="0" borderId="0" xfId="0" applyFont="1"/>
    <xf numFmtId="0" fontId="11" fillId="3" borderId="0" xfId="0" applyFont="1" applyFill="1" applyAlignment="1">
      <alignment horizontal="right"/>
    </xf>
    <xf numFmtId="0" fontId="11" fillId="3" borderId="3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2" fillId="3" borderId="0" xfId="0" applyFont="1" applyFill="1" applyAlignment="1">
      <alignment horizontal="right"/>
    </xf>
    <xf numFmtId="0" fontId="2" fillId="3" borderId="0" xfId="0" applyFont="1" applyFill="1"/>
    <xf numFmtId="0" fontId="11" fillId="0" borderId="0" xfId="0" applyFont="1" applyAlignment="1">
      <alignment horizontal="right"/>
    </xf>
    <xf numFmtId="0" fontId="11" fillId="0" borderId="3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0" xfId="0" applyFont="1" applyBorder="1" applyAlignment="1">
      <alignment horizontal="right" wrapText="1"/>
    </xf>
    <xf numFmtId="0" fontId="5" fillId="0" borderId="10" xfId="0" applyFont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0" fontId="0" fillId="0" borderId="8" xfId="0" applyBorder="1"/>
    <xf numFmtId="0" fontId="7" fillId="0" borderId="8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3" fontId="0" fillId="0" borderId="8" xfId="0" applyNumberFormat="1" applyBorder="1"/>
    <xf numFmtId="0" fontId="0" fillId="0" borderId="11" xfId="0" applyBorder="1"/>
    <xf numFmtId="0" fontId="6" fillId="0" borderId="4" xfId="0" applyFont="1" applyBorder="1" applyAlignment="1">
      <alignment horizontal="right"/>
    </xf>
    <xf numFmtId="0" fontId="0" fillId="0" borderId="0" xfId="0" applyBorder="1"/>
    <xf numFmtId="0" fontId="4" fillId="0" borderId="11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0" fillId="4" borderId="8" xfId="0" applyFill="1" applyBorder="1"/>
    <xf numFmtId="0" fontId="6" fillId="0" borderId="0" xfId="0" applyFont="1" applyBorder="1" applyAlignment="1">
      <alignment horizontal="right"/>
    </xf>
    <xf numFmtId="0" fontId="4" fillId="4" borderId="8" xfId="0" applyFont="1" applyFill="1" applyBorder="1" applyAlignment="1">
      <alignment horizontal="right"/>
    </xf>
    <xf numFmtId="0" fontId="0" fillId="4" borderId="0" xfId="0" applyFill="1" applyBorder="1"/>
    <xf numFmtId="0" fontId="9" fillId="0" borderId="0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6" fillId="3" borderId="0" xfId="0" applyFont="1" applyFill="1" applyBorder="1" applyAlignment="1">
      <alignment horizontal="right"/>
    </xf>
    <xf numFmtId="0" fontId="11" fillId="3" borderId="0" xfId="0" applyFont="1" applyFill="1" applyBorder="1" applyAlignment="1">
      <alignment horizontal="right"/>
    </xf>
    <xf numFmtId="0" fontId="6" fillId="0" borderId="0" xfId="0" applyFont="1"/>
    <xf numFmtId="0" fontId="6" fillId="0" borderId="0" xfId="0" applyFont="1" applyBorder="1"/>
    <xf numFmtId="0" fontId="6" fillId="0" borderId="5" xfId="0" applyFont="1" applyBorder="1"/>
    <xf numFmtId="0" fontId="6" fillId="0" borderId="6" xfId="0" applyFont="1" applyBorder="1"/>
    <xf numFmtId="0" fontId="11" fillId="0" borderId="0" xfId="0" applyFont="1"/>
    <xf numFmtId="0" fontId="11" fillId="0" borderId="0" xfId="0" applyFont="1" applyBorder="1"/>
    <xf numFmtId="0" fontId="6" fillId="3" borderId="3" xfId="0" applyFont="1" applyFill="1" applyBorder="1"/>
    <xf numFmtId="0" fontId="6" fillId="3" borderId="0" xfId="0" applyFont="1" applyFill="1"/>
    <xf numFmtId="0" fontId="6" fillId="3" borderId="0" xfId="0" applyFont="1" applyFill="1" applyBorder="1"/>
    <xf numFmtId="0" fontId="11" fillId="3" borderId="0" xfId="0" applyFont="1" applyFill="1"/>
    <xf numFmtId="0" fontId="11" fillId="3" borderId="0" xfId="0" applyFont="1" applyFill="1" applyBorder="1"/>
    <xf numFmtId="0" fontId="11" fillId="3" borderId="3" xfId="0" applyFont="1" applyFill="1" applyBorder="1"/>
    <xf numFmtId="0" fontId="6" fillId="0" borderId="2" xfId="0" applyFont="1" applyBorder="1"/>
    <xf numFmtId="0" fontId="6" fillId="0" borderId="7" xfId="0" applyFont="1" applyBorder="1"/>
    <xf numFmtId="0" fontId="11" fillId="0" borderId="2" xfId="0" applyFont="1" applyBorder="1"/>
    <xf numFmtId="0" fontId="6" fillId="3" borderId="2" xfId="0" applyFont="1" applyFill="1" applyBorder="1"/>
    <xf numFmtId="0" fontId="11" fillId="3" borderId="2" xfId="0" applyFont="1" applyFill="1" applyBorder="1"/>
    <xf numFmtId="0" fontId="13" fillId="0" borderId="0" xfId="0" applyFont="1"/>
    <xf numFmtId="0" fontId="8" fillId="0" borderId="0" xfId="0" applyFont="1" applyAlignment="1">
      <alignment horizontal="right" wrapText="1"/>
    </xf>
    <xf numFmtId="0" fontId="9" fillId="0" borderId="2" xfId="0" applyFont="1" applyBorder="1" applyAlignment="1">
      <alignment horizontal="right" wrapText="1"/>
    </xf>
    <xf numFmtId="0" fontId="1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workbookViewId="0">
      <selection activeCell="E9" sqref="E9"/>
    </sheetView>
  </sheetViews>
  <sheetFormatPr defaultRowHeight="15"/>
  <cols>
    <col min="1" max="1" width="10.42578125" customWidth="1"/>
    <col min="3" max="3" width="23" customWidth="1"/>
    <col min="4" max="4" width="24.28515625" customWidth="1"/>
    <col min="5" max="5" width="15.140625" customWidth="1"/>
    <col min="6" max="6" width="25.7109375" customWidth="1"/>
    <col min="7" max="7" width="22.140625" customWidth="1"/>
    <col min="8" max="8" width="16.7109375" customWidth="1"/>
    <col min="9" max="9" width="19.28515625" customWidth="1"/>
    <col min="10" max="10" width="17.28515625" customWidth="1"/>
    <col min="11" max="11" width="12.140625" bestFit="1" customWidth="1"/>
    <col min="12" max="12" width="32.140625" bestFit="1" customWidth="1"/>
    <col min="13" max="13" width="19" customWidth="1"/>
    <col min="15" max="15" width="15" customWidth="1"/>
    <col min="21" max="22" width="12.28515625" bestFit="1" customWidth="1"/>
    <col min="23" max="23" width="12.5703125" bestFit="1" customWidth="1"/>
    <col min="24" max="24" width="15.28515625" customWidth="1"/>
    <col min="25" max="26" width="12.57031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9">
      <c r="A2" t="s">
        <v>25</v>
      </c>
      <c r="B2" s="2">
        <v>45901</v>
      </c>
      <c r="C2">
        <v>42.523600000000002</v>
      </c>
      <c r="D2">
        <v>74.478899999999996</v>
      </c>
      <c r="E2">
        <v>2489</v>
      </c>
      <c r="F2">
        <v>5</v>
      </c>
      <c r="G2">
        <v>1.75</v>
      </c>
      <c r="H2" t="s">
        <v>26</v>
      </c>
      <c r="I2">
        <v>10</v>
      </c>
      <c r="J2">
        <v>2.5</v>
      </c>
      <c r="K2">
        <v>3</v>
      </c>
      <c r="L2" t="s">
        <v>27</v>
      </c>
      <c r="M2">
        <v>0.168875351845058</v>
      </c>
      <c r="N2" s="5">
        <v>-9.3403471495000104E-4</v>
      </c>
      <c r="O2" s="5">
        <v>9.5819299736267706E-5</v>
      </c>
      <c r="P2">
        <v>3.5999999999999997E-2</v>
      </c>
      <c r="Q2">
        <v>1.56</v>
      </c>
      <c r="R2">
        <v>0.26</v>
      </c>
      <c r="S2">
        <v>0.41</v>
      </c>
      <c r="T2">
        <v>0.97725237763011497</v>
      </c>
      <c r="U2">
        <v>5.7176568393371001</v>
      </c>
      <c r="V2">
        <v>0.17280628393515801</v>
      </c>
      <c r="W2" s="5">
        <v>-1.6335970156933899E-4</v>
      </c>
      <c r="X2">
        <v>103.683770361095</v>
      </c>
      <c r="Y2">
        <v>-5.8809492564962103</v>
      </c>
      <c r="AA2">
        <v>0.168875351845058</v>
      </c>
      <c r="AB2" s="5">
        <v>-9.3403471495000104E-4</v>
      </c>
      <c r="AC2" s="5">
        <v>9.5819299736267706E-5</v>
      </c>
      <c r="AD2">
        <v>3.5999999999999997E-2</v>
      </c>
      <c r="AE2">
        <v>1.56</v>
      </c>
      <c r="AF2">
        <v>0.26</v>
      </c>
      <c r="AG2">
        <v>0.41</v>
      </c>
      <c r="AH2">
        <v>0.97725237763011497</v>
      </c>
      <c r="AI2">
        <v>5.7176568393371001</v>
      </c>
      <c r="AJ2">
        <v>0.17280628393515801</v>
      </c>
      <c r="AK2" s="5">
        <v>-1.6335970156933899E-4</v>
      </c>
      <c r="AL2">
        <v>103.683770361095</v>
      </c>
      <c r="AM2">
        <v>-5.8809492564962103</v>
      </c>
    </row>
    <row r="3" spans="1:39">
      <c r="C3">
        <v>42.523899999999998</v>
      </c>
      <c r="D3">
        <v>74.479200000000006</v>
      </c>
      <c r="E3">
        <v>2486</v>
      </c>
      <c r="F3">
        <v>5</v>
      </c>
      <c r="G3">
        <v>2</v>
      </c>
      <c r="H3" t="s">
        <v>28</v>
      </c>
      <c r="I3">
        <v>22</v>
      </c>
      <c r="J3">
        <v>2</v>
      </c>
      <c r="M3">
        <v>-8.2149186219149406E-2</v>
      </c>
      <c r="N3">
        <v>2.4252079205944601E-2</v>
      </c>
      <c r="O3">
        <v>0.61199592906074796</v>
      </c>
      <c r="P3">
        <v>3.5999999999999997E-2</v>
      </c>
      <c r="Q3">
        <v>1.56</v>
      </c>
      <c r="R3">
        <v>0.26</v>
      </c>
      <c r="S3">
        <v>0.41</v>
      </c>
      <c r="T3">
        <v>0.97725237763011497</v>
      </c>
      <c r="U3">
        <v>5.7176568393371001</v>
      </c>
      <c r="V3">
        <v>-8.4061382811229601E-2</v>
      </c>
      <c r="W3">
        <v>4.24161153553181E-3</v>
      </c>
      <c r="X3">
        <v>-50.436829686737703</v>
      </c>
      <c r="Y3">
        <v>152.69801527914501</v>
      </c>
      <c r="AA3">
        <v>-8.2149186219149406E-2</v>
      </c>
      <c r="AB3">
        <v>2.4252079205944601E-2</v>
      </c>
      <c r="AC3">
        <v>0.61199592906074796</v>
      </c>
      <c r="AD3">
        <v>3.5999999999999997E-2</v>
      </c>
      <c r="AE3">
        <v>1.56</v>
      </c>
      <c r="AF3">
        <v>0.26</v>
      </c>
      <c r="AG3">
        <v>0.41</v>
      </c>
      <c r="AH3">
        <v>0.97725237763011497</v>
      </c>
      <c r="AI3">
        <v>5.7176568393371001</v>
      </c>
      <c r="AJ3">
        <v>-8.4061382811229601E-2</v>
      </c>
      <c r="AK3">
        <v>4.24161153553181E-3</v>
      </c>
      <c r="AL3">
        <v>-50.436829686737703</v>
      </c>
      <c r="AM3">
        <v>152.69801527914501</v>
      </c>
    </row>
    <row r="4" spans="1:39">
      <c r="F4">
        <v>5</v>
      </c>
      <c r="G4">
        <v>1</v>
      </c>
      <c r="H4" t="s">
        <v>26</v>
      </c>
      <c r="I4">
        <v>5.5</v>
      </c>
      <c r="J4">
        <v>1</v>
      </c>
      <c r="M4">
        <v>-1.00827627351572</v>
      </c>
      <c r="N4">
        <v>0.14932123344600101</v>
      </c>
      <c r="O4">
        <v>4.8248530637907697E-2</v>
      </c>
      <c r="P4">
        <v>3.5999999999999997E-2</v>
      </c>
      <c r="Q4">
        <v>1.56</v>
      </c>
      <c r="R4">
        <v>0.26</v>
      </c>
      <c r="S4">
        <v>0.41</v>
      </c>
      <c r="T4">
        <v>0.97725237763011497</v>
      </c>
      <c r="U4">
        <v>5.7176568393371001</v>
      </c>
      <c r="V4">
        <v>-1.0317460428808001</v>
      </c>
      <c r="W4">
        <v>2.6115808912959101E-2</v>
      </c>
      <c r="X4">
        <v>-619.04762572848199</v>
      </c>
      <c r="Y4">
        <v>940.16912086652906</v>
      </c>
      <c r="AA4">
        <v>-1.00827627351572</v>
      </c>
      <c r="AB4">
        <v>0.14932123344600101</v>
      </c>
      <c r="AC4">
        <v>4.8248530637907697E-2</v>
      </c>
      <c r="AD4">
        <v>3.5999999999999997E-2</v>
      </c>
      <c r="AE4">
        <v>1.56</v>
      </c>
      <c r="AF4">
        <v>0.26</v>
      </c>
      <c r="AG4">
        <v>0.41</v>
      </c>
      <c r="AH4">
        <v>0.97725237763011497</v>
      </c>
      <c r="AI4">
        <v>5.7176568393371001</v>
      </c>
      <c r="AJ4">
        <v>-1.0317460428808001</v>
      </c>
      <c r="AK4">
        <v>2.6115808912959101E-2</v>
      </c>
      <c r="AL4">
        <v>-619.04762572848199</v>
      </c>
      <c r="AM4">
        <v>940.16912086652906</v>
      </c>
    </row>
    <row r="5" spans="1:39">
      <c r="F5">
        <v>5</v>
      </c>
      <c r="G5">
        <v>1.5</v>
      </c>
      <c r="H5" t="s">
        <v>28</v>
      </c>
      <c r="I5">
        <v>17</v>
      </c>
      <c r="J5">
        <v>1.5</v>
      </c>
      <c r="M5">
        <v>-5.5976908450726302E-2</v>
      </c>
      <c r="N5">
        <v>6.1674348304614698E-3</v>
      </c>
      <c r="O5">
        <v>0.100191529375528</v>
      </c>
      <c r="P5">
        <v>3.5999999999999997E-2</v>
      </c>
      <c r="Q5">
        <v>1.56</v>
      </c>
      <c r="R5">
        <v>0.26</v>
      </c>
      <c r="S5">
        <v>0.41</v>
      </c>
      <c r="T5">
        <v>0.97725237763011497</v>
      </c>
      <c r="U5">
        <v>5.7176568393371001</v>
      </c>
      <c r="V5">
        <v>-5.7279889752197902E-2</v>
      </c>
      <c r="W5">
        <v>1.0786647404282599E-3</v>
      </c>
      <c r="X5">
        <v>-34.367933851318703</v>
      </c>
      <c r="Y5">
        <v>38.8319306554177</v>
      </c>
      <c r="AA5">
        <v>-5.5976908450726302E-2</v>
      </c>
      <c r="AB5">
        <v>6.1674348304614698E-3</v>
      </c>
      <c r="AC5">
        <v>0.100191529375528</v>
      </c>
      <c r="AD5">
        <v>3.5999999999999997E-2</v>
      </c>
      <c r="AE5">
        <v>1.56</v>
      </c>
      <c r="AF5">
        <v>0.26</v>
      </c>
      <c r="AG5">
        <v>0.41</v>
      </c>
      <c r="AH5">
        <v>0.97725237763011497</v>
      </c>
      <c r="AI5">
        <v>5.7176568393371001</v>
      </c>
      <c r="AJ5">
        <v>-5.7279889752197902E-2</v>
      </c>
      <c r="AK5">
        <v>1.0786647404282599E-3</v>
      </c>
      <c r="AL5">
        <v>-34.367933851318703</v>
      </c>
      <c r="AM5">
        <v>38.8319306554177</v>
      </c>
    </row>
    <row r="6" spans="1:39">
      <c r="F6">
        <v>6</v>
      </c>
      <c r="G6">
        <v>1.5</v>
      </c>
      <c r="H6" t="s">
        <v>28</v>
      </c>
      <c r="I6">
        <v>55</v>
      </c>
      <c r="J6">
        <v>4</v>
      </c>
      <c r="M6">
        <v>0.125381772419355</v>
      </c>
      <c r="N6">
        <v>1.7345284313621801E-3</v>
      </c>
      <c r="O6" s="5">
        <v>9.6338577088403801E-4</v>
      </c>
      <c r="P6">
        <v>3.5999999999999997E-2</v>
      </c>
      <c r="Q6">
        <v>1.56</v>
      </c>
      <c r="R6">
        <v>0.26</v>
      </c>
      <c r="S6">
        <v>0.41</v>
      </c>
      <c r="T6">
        <v>0.97725237763011497</v>
      </c>
      <c r="U6">
        <v>5.7176568393371001</v>
      </c>
      <c r="V6">
        <v>0.12830029917492899</v>
      </c>
      <c r="W6" s="5">
        <v>3.0336350713263099E-4</v>
      </c>
      <c r="X6">
        <v>76.980179504957803</v>
      </c>
      <c r="Y6">
        <v>10.9210862567747</v>
      </c>
      <c r="AA6">
        <v>0.125381772419355</v>
      </c>
      <c r="AB6">
        <v>1.7345284313621801E-3</v>
      </c>
      <c r="AC6" s="5">
        <v>9.6338577088403801E-4</v>
      </c>
      <c r="AD6">
        <v>3.5999999999999997E-2</v>
      </c>
      <c r="AE6">
        <v>1.56</v>
      </c>
      <c r="AF6">
        <v>0.26</v>
      </c>
      <c r="AG6">
        <v>0.41</v>
      </c>
      <c r="AH6">
        <v>0.97725237763011497</v>
      </c>
      <c r="AI6">
        <v>5.7176568393371001</v>
      </c>
      <c r="AJ6">
        <v>0.12830029917492899</v>
      </c>
      <c r="AK6" s="5">
        <v>3.0336350713263099E-4</v>
      </c>
      <c r="AL6">
        <v>76.980179504957803</v>
      </c>
      <c r="AM6">
        <v>10.9210862567747</v>
      </c>
    </row>
    <row r="7" spans="1:39">
      <c r="F7">
        <v>6</v>
      </c>
      <c r="G7">
        <v>1.5</v>
      </c>
      <c r="H7" t="s">
        <v>28</v>
      </c>
      <c r="I7">
        <v>47</v>
      </c>
      <c r="J7">
        <v>1.5</v>
      </c>
      <c r="M7">
        <v>-0.16438052547076401</v>
      </c>
      <c r="N7">
        <v>1.7889825693819899E-2</v>
      </c>
      <c r="O7">
        <v>0.19325307811754</v>
      </c>
      <c r="P7">
        <v>3.5999999999999997E-2</v>
      </c>
      <c r="Q7">
        <v>1.56</v>
      </c>
      <c r="R7">
        <v>0.26</v>
      </c>
      <c r="S7">
        <v>0.41</v>
      </c>
      <c r="T7">
        <v>0.97725237763011497</v>
      </c>
      <c r="U7">
        <v>5.7176568393371001</v>
      </c>
      <c r="V7">
        <v>-0.16820683094104599</v>
      </c>
      <c r="W7">
        <v>3.1288736271717198E-3</v>
      </c>
      <c r="X7">
        <v>-100.924098564628</v>
      </c>
      <c r="Y7">
        <v>112.63945057818199</v>
      </c>
      <c r="AA7">
        <v>-0.16438052547076401</v>
      </c>
      <c r="AB7">
        <v>1.7889825693819899E-2</v>
      </c>
      <c r="AC7">
        <v>0.19325307811754</v>
      </c>
      <c r="AD7">
        <v>3.5999999999999997E-2</v>
      </c>
      <c r="AE7">
        <v>1.56</v>
      </c>
      <c r="AF7">
        <v>0.26</v>
      </c>
      <c r="AG7">
        <v>0.41</v>
      </c>
      <c r="AH7">
        <v>0.97725237763011497</v>
      </c>
      <c r="AI7">
        <v>5.7176568393371001</v>
      </c>
      <c r="AJ7">
        <v>-0.16820683094104599</v>
      </c>
      <c r="AK7">
        <v>3.1288736271717198E-3</v>
      </c>
      <c r="AL7">
        <v>-100.924098564628</v>
      </c>
      <c r="AM7">
        <v>112.63945057818199</v>
      </c>
    </row>
    <row r="8" spans="1:39">
      <c r="F8">
        <v>6</v>
      </c>
      <c r="G8">
        <v>1</v>
      </c>
      <c r="H8" t="s">
        <v>28</v>
      </c>
      <c r="I8">
        <v>75</v>
      </c>
      <c r="J8">
        <v>2</v>
      </c>
      <c r="M8">
        <v>-9.5030709404647695E-2</v>
      </c>
      <c r="N8">
        <v>9.6341705892902807E-3</v>
      </c>
      <c r="O8">
        <v>0.49252572189074301</v>
      </c>
      <c r="P8">
        <v>3.5999999999999997E-2</v>
      </c>
      <c r="Q8">
        <v>1.56</v>
      </c>
      <c r="R8">
        <v>0.26</v>
      </c>
      <c r="S8">
        <v>0.41</v>
      </c>
      <c r="T8">
        <v>0.97725237763011497</v>
      </c>
      <c r="U8">
        <v>5.7176568393371001</v>
      </c>
      <c r="V8">
        <v>-9.7242750777544101E-2</v>
      </c>
      <c r="W8">
        <v>1.68498580100292E-3</v>
      </c>
      <c r="X8">
        <v>-58.345650466526401</v>
      </c>
      <c r="Y8">
        <v>60.659488836105297</v>
      </c>
      <c r="AA8">
        <v>-9.5030709404647695E-2</v>
      </c>
      <c r="AB8">
        <v>9.6341705892902807E-3</v>
      </c>
      <c r="AC8">
        <v>0.49252572189074301</v>
      </c>
      <c r="AD8">
        <v>3.5999999999999997E-2</v>
      </c>
      <c r="AE8">
        <v>1.56</v>
      </c>
      <c r="AF8">
        <v>0.26</v>
      </c>
      <c r="AG8">
        <v>0.41</v>
      </c>
      <c r="AH8">
        <v>0.97725237763011497</v>
      </c>
      <c r="AI8">
        <v>5.7176568393371001</v>
      </c>
      <c r="AJ8">
        <v>-9.7242750777544101E-2</v>
      </c>
      <c r="AK8">
        <v>1.68498580100292E-3</v>
      </c>
      <c r="AL8">
        <v>-58.345650466526401</v>
      </c>
      <c r="AM8">
        <v>60.659488836105297</v>
      </c>
    </row>
    <row r="9" spans="1:39">
      <c r="E9">
        <f>E2-E3</f>
        <v>3</v>
      </c>
      <c r="F9">
        <v>6</v>
      </c>
      <c r="G9">
        <v>2</v>
      </c>
      <c r="H9" t="s">
        <v>29</v>
      </c>
      <c r="I9">
        <v>0.5</v>
      </c>
      <c r="J9">
        <v>0</v>
      </c>
      <c r="M9">
        <v>-5.39380572616662E-2</v>
      </c>
      <c r="N9">
        <v>6.3590222086816004E-3</v>
      </c>
      <c r="O9">
        <v>0.48901120771710399</v>
      </c>
      <c r="P9">
        <v>3.5999999999999997E-2</v>
      </c>
      <c r="Q9">
        <v>1.56</v>
      </c>
      <c r="R9">
        <v>0.26</v>
      </c>
      <c r="S9">
        <v>0.41</v>
      </c>
      <c r="T9">
        <v>0.97725237763011497</v>
      </c>
      <c r="U9">
        <v>5.7176568393371001</v>
      </c>
      <c r="V9">
        <v>-5.5193579976206997E-2</v>
      </c>
      <c r="W9">
        <v>1.1121727636628899E-3</v>
      </c>
      <c r="X9">
        <v>-33.116147985724197</v>
      </c>
      <c r="Y9">
        <v>40.038219491864197</v>
      </c>
      <c r="AA9">
        <v>-5.39380572616662E-2</v>
      </c>
      <c r="AB9">
        <v>6.3590222086816004E-3</v>
      </c>
      <c r="AC9">
        <v>0.48901120771710399</v>
      </c>
      <c r="AD9">
        <v>3.5999999999999997E-2</v>
      </c>
      <c r="AE9">
        <v>1.56</v>
      </c>
      <c r="AF9">
        <v>0.26</v>
      </c>
      <c r="AG9">
        <v>0.41</v>
      </c>
      <c r="AH9">
        <v>0.97725237763011497</v>
      </c>
      <c r="AI9">
        <v>5.7176568393371001</v>
      </c>
      <c r="AJ9">
        <v>-5.5193579976206997E-2</v>
      </c>
      <c r="AK9">
        <v>1.1121727636628899E-3</v>
      </c>
      <c r="AL9">
        <v>-33.116147985724197</v>
      </c>
      <c r="AM9">
        <v>40.038219491864197</v>
      </c>
    </row>
    <row r="10" spans="1:39">
      <c r="F10">
        <v>5</v>
      </c>
      <c r="G10">
        <v>1.5</v>
      </c>
      <c r="H10" t="s">
        <v>28</v>
      </c>
      <c r="I10">
        <v>57</v>
      </c>
      <c r="J10">
        <v>9</v>
      </c>
      <c r="M10">
        <v>-0.85731557092644195</v>
      </c>
      <c r="N10">
        <v>9.9667062800488704E-2</v>
      </c>
      <c r="O10">
        <v>0.41687558683592302</v>
      </c>
      <c r="P10">
        <v>3.5999999999999997E-2</v>
      </c>
      <c r="Q10">
        <v>1.56</v>
      </c>
      <c r="R10">
        <v>0.26</v>
      </c>
      <c r="S10">
        <v>0.41</v>
      </c>
      <c r="T10">
        <v>0.97725237763011497</v>
      </c>
      <c r="U10">
        <v>5.7176568393371001</v>
      </c>
      <c r="V10">
        <v>-0.87727140966950101</v>
      </c>
      <c r="W10">
        <v>1.7431452359082798E-2</v>
      </c>
      <c r="X10">
        <v>-526.36284580170002</v>
      </c>
      <c r="Y10">
        <v>627.53228492698099</v>
      </c>
      <c r="AA10">
        <v>-0.85731557092644195</v>
      </c>
      <c r="AB10">
        <v>9.9667062800488704E-2</v>
      </c>
      <c r="AC10">
        <v>0.41687558683592302</v>
      </c>
      <c r="AD10">
        <v>3.5999999999999997E-2</v>
      </c>
      <c r="AE10">
        <v>1.56</v>
      </c>
      <c r="AF10">
        <v>0.26</v>
      </c>
      <c r="AG10">
        <v>0.41</v>
      </c>
      <c r="AH10">
        <v>0.97725237763011497</v>
      </c>
      <c r="AI10">
        <v>5.7176568393371001</v>
      </c>
      <c r="AJ10">
        <v>-0.87727140966950101</v>
      </c>
      <c r="AK10">
        <v>1.7431452359082798E-2</v>
      </c>
      <c r="AL10">
        <v>-526.36284580170002</v>
      </c>
      <c r="AM10">
        <v>627.53228492698099</v>
      </c>
    </row>
    <row r="11" spans="1:39">
      <c r="F11">
        <v>6</v>
      </c>
      <c r="G11">
        <v>1.5</v>
      </c>
      <c r="H11" t="s">
        <v>28</v>
      </c>
      <c r="I11">
        <v>53</v>
      </c>
      <c r="J11">
        <v>6.5</v>
      </c>
    </row>
    <row r="12" spans="1:39">
      <c r="F12">
        <v>5</v>
      </c>
      <c r="G12">
        <v>1.75</v>
      </c>
      <c r="H12" t="s">
        <v>28</v>
      </c>
      <c r="I12">
        <v>51</v>
      </c>
      <c r="J12">
        <v>5</v>
      </c>
    </row>
    <row r="13" spans="1:39">
      <c r="F13">
        <v>4</v>
      </c>
      <c r="G13">
        <v>1</v>
      </c>
      <c r="H13" t="s">
        <v>28</v>
      </c>
      <c r="I13">
        <v>63</v>
      </c>
      <c r="J13">
        <v>12.5</v>
      </c>
    </row>
    <row r="14" spans="1:39">
      <c r="F14">
        <v>5</v>
      </c>
      <c r="G14">
        <v>0.75</v>
      </c>
      <c r="H14" t="s">
        <v>28</v>
      </c>
      <c r="I14">
        <v>60</v>
      </c>
      <c r="J14">
        <v>4.5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39">
      <c r="F15">
        <v>5</v>
      </c>
      <c r="G15">
        <v>0.75</v>
      </c>
      <c r="H15" t="s">
        <v>28</v>
      </c>
      <c r="I15">
        <v>59</v>
      </c>
      <c r="J15">
        <v>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39">
      <c r="F16">
        <v>6</v>
      </c>
      <c r="G16">
        <v>0.75</v>
      </c>
      <c r="H16" t="s">
        <v>28</v>
      </c>
      <c r="I16">
        <v>42</v>
      </c>
      <c r="J16">
        <v>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6:26">
      <c r="F17">
        <v>4</v>
      </c>
      <c r="G17">
        <v>1.25</v>
      </c>
      <c r="H17" t="s">
        <v>26</v>
      </c>
      <c r="I17">
        <v>17</v>
      </c>
      <c r="J17">
        <v>4.5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"/>
      <c r="Y17" s="6"/>
      <c r="Z17" s="6"/>
    </row>
    <row r="18" spans="6:26">
      <c r="F18">
        <v>5</v>
      </c>
      <c r="G18">
        <v>1</v>
      </c>
      <c r="H18" t="s">
        <v>28</v>
      </c>
      <c r="I18">
        <v>16</v>
      </c>
      <c r="J18">
        <v>5.5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6:26">
      <c r="F19">
        <v>6</v>
      </c>
      <c r="G19">
        <v>0.5</v>
      </c>
      <c r="H19" t="s">
        <v>28</v>
      </c>
      <c r="I19">
        <v>112</v>
      </c>
      <c r="J19">
        <v>7.5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6:26">
      <c r="G20">
        <v>1.25</v>
      </c>
      <c r="H20" t="s">
        <v>30</v>
      </c>
      <c r="I20">
        <v>0</v>
      </c>
      <c r="J20">
        <v>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6:26">
      <c r="G21">
        <v>1.5</v>
      </c>
      <c r="H21" t="s">
        <v>28</v>
      </c>
      <c r="I21">
        <v>72</v>
      </c>
      <c r="J21">
        <v>5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6:26">
      <c r="G22">
        <v>1.25</v>
      </c>
      <c r="H22" t="s">
        <v>28</v>
      </c>
      <c r="I22">
        <v>34</v>
      </c>
      <c r="J22">
        <v>6.5</v>
      </c>
    </row>
    <row r="23" spans="6:26">
      <c r="G23">
        <v>1</v>
      </c>
      <c r="H23" t="s">
        <v>26</v>
      </c>
      <c r="I23">
        <v>73</v>
      </c>
      <c r="J23">
        <v>2</v>
      </c>
    </row>
    <row r="24" spans="6:26">
      <c r="G24">
        <v>1.25</v>
      </c>
      <c r="H24" t="s">
        <v>28</v>
      </c>
      <c r="I24">
        <v>58</v>
      </c>
      <c r="J24">
        <v>6</v>
      </c>
    </row>
    <row r="25" spans="6:26">
      <c r="G25">
        <v>1.5</v>
      </c>
      <c r="H25" t="s">
        <v>31</v>
      </c>
      <c r="I25">
        <v>10</v>
      </c>
      <c r="J25">
        <v>5</v>
      </c>
    </row>
    <row r="26" spans="6:26">
      <c r="G26">
        <v>1.25</v>
      </c>
      <c r="H26" t="s">
        <v>28</v>
      </c>
      <c r="I26">
        <v>41</v>
      </c>
      <c r="J26">
        <v>1.5</v>
      </c>
    </row>
    <row r="27" spans="6:26">
      <c r="G27">
        <v>0.5</v>
      </c>
      <c r="H27" t="s">
        <v>31</v>
      </c>
      <c r="I27">
        <v>19</v>
      </c>
      <c r="J27">
        <v>3</v>
      </c>
    </row>
    <row r="28" spans="6:26">
      <c r="G28">
        <v>0.25</v>
      </c>
      <c r="H28" t="s">
        <v>28</v>
      </c>
      <c r="I28">
        <v>31</v>
      </c>
      <c r="J28">
        <v>2.5</v>
      </c>
    </row>
    <row r="29" spans="6:26">
      <c r="G29">
        <v>0.5</v>
      </c>
      <c r="H29" t="s">
        <v>28</v>
      </c>
      <c r="I29">
        <v>18</v>
      </c>
      <c r="J29">
        <v>1.5</v>
      </c>
    </row>
    <row r="30" spans="6:26">
      <c r="G30">
        <v>0.5</v>
      </c>
      <c r="H30" t="s">
        <v>28</v>
      </c>
      <c r="I30">
        <v>48</v>
      </c>
      <c r="J30">
        <v>2.5</v>
      </c>
    </row>
    <row r="31" spans="6:26">
      <c r="G31">
        <v>0.75</v>
      </c>
      <c r="H31" t="s">
        <v>28</v>
      </c>
      <c r="I31">
        <v>43</v>
      </c>
      <c r="J31">
        <v>3</v>
      </c>
    </row>
    <row r="32" spans="6:26">
      <c r="H32" t="s">
        <v>28</v>
      </c>
      <c r="I32">
        <v>42</v>
      </c>
      <c r="J3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331C-E839-4130-852E-CC48B67A2731}">
  <dimension ref="A1:AM32"/>
  <sheetViews>
    <sheetView workbookViewId="0">
      <selection activeCell="E9" sqref="E9"/>
    </sheetView>
  </sheetViews>
  <sheetFormatPr defaultRowHeight="15"/>
  <cols>
    <col min="1" max="1" width="12.140625" customWidth="1"/>
    <col min="3" max="3" width="15" customWidth="1"/>
    <col min="4" max="4" width="21.7109375" bestFit="1" customWidth="1"/>
    <col min="5" max="5" width="17.7109375" customWidth="1"/>
    <col min="6" max="6" width="20.85546875" customWidth="1"/>
    <col min="7" max="7" width="12.7109375" customWidth="1"/>
    <col min="8" max="8" width="14.85546875" customWidth="1"/>
    <col min="9" max="9" width="15.28515625" bestFit="1" customWidth="1"/>
    <col min="10" max="10" width="17.42578125" customWidth="1"/>
    <col min="12" max="12" width="30.85546875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9">
      <c r="A2" t="s">
        <v>32</v>
      </c>
      <c r="B2" s="2">
        <v>45902</v>
      </c>
      <c r="C2">
        <v>42.5792</v>
      </c>
      <c r="D2">
        <v>74.482500000000002</v>
      </c>
      <c r="E2">
        <v>2054</v>
      </c>
      <c r="F2">
        <v>6</v>
      </c>
      <c r="G2">
        <v>1</v>
      </c>
      <c r="H2" t="s">
        <v>26</v>
      </c>
      <c r="I2">
        <v>97</v>
      </c>
      <c r="J2">
        <v>8</v>
      </c>
      <c r="K2">
        <v>0</v>
      </c>
      <c r="L2" t="s">
        <v>33</v>
      </c>
      <c r="AA2">
        <v>8.0070243364959506E-2</v>
      </c>
      <c r="AB2">
        <v>1.1338774144374701E-2</v>
      </c>
      <c r="AC2">
        <v>6.3060997128503802E-3</v>
      </c>
      <c r="AD2">
        <v>0.01</v>
      </c>
      <c r="AE2">
        <v>1.23</v>
      </c>
      <c r="AF2">
        <v>0.25</v>
      </c>
      <c r="AG2">
        <v>0.4</v>
      </c>
      <c r="AH2">
        <v>1.1647538014857199</v>
      </c>
      <c r="AI2">
        <v>8.0940561784523695</v>
      </c>
      <c r="AJ2">
        <v>6.8744350319204395E-2</v>
      </c>
      <c r="AK2">
        <v>1.4008766302562E-3</v>
      </c>
      <c r="AL2">
        <v>41.246610191522699</v>
      </c>
      <c r="AM2">
        <v>50.431558689223202</v>
      </c>
    </row>
    <row r="3" spans="1:39">
      <c r="C3">
        <v>42.5792</v>
      </c>
      <c r="D3">
        <v>74.479200000000006</v>
      </c>
      <c r="E3">
        <v>2046</v>
      </c>
      <c r="F3">
        <v>6</v>
      </c>
      <c r="G3">
        <v>1</v>
      </c>
      <c r="H3" t="s">
        <v>34</v>
      </c>
      <c r="I3">
        <v>75</v>
      </c>
      <c r="J3">
        <v>5</v>
      </c>
      <c r="W3" s="5"/>
      <c r="AA3">
        <v>2.8056057387949199E-3</v>
      </c>
      <c r="AB3">
        <v>1.0862449120549299E-3</v>
      </c>
      <c r="AC3">
        <v>6.2287928562785901E-2</v>
      </c>
      <c r="AD3">
        <v>0.01</v>
      </c>
      <c r="AE3">
        <v>1.23</v>
      </c>
      <c r="AF3">
        <v>0.25</v>
      </c>
      <c r="AG3">
        <v>0.4</v>
      </c>
      <c r="AH3">
        <v>1.1647538014857199</v>
      </c>
      <c r="AI3">
        <v>8.0940561784523695</v>
      </c>
      <c r="AJ3">
        <v>2.4087543094653799E-3</v>
      </c>
      <c r="AK3" s="5">
        <v>1.34202788825049E-4</v>
      </c>
      <c r="AL3">
        <v>1.44525258567923</v>
      </c>
      <c r="AM3">
        <v>4.8313003977017797</v>
      </c>
    </row>
    <row r="4" spans="1:39">
      <c r="F4">
        <v>6</v>
      </c>
      <c r="G4">
        <v>0.5</v>
      </c>
      <c r="H4" t="s">
        <v>34</v>
      </c>
      <c r="I4">
        <v>88</v>
      </c>
      <c r="J4">
        <v>7</v>
      </c>
      <c r="M4">
        <v>-6.8715896580675395E-2</v>
      </c>
      <c r="N4">
        <v>8.1524486023104702E-3</v>
      </c>
      <c r="O4">
        <v>0.47577907498014099</v>
      </c>
      <c r="P4">
        <v>0.01</v>
      </c>
      <c r="Q4">
        <v>1.23</v>
      </c>
      <c r="R4">
        <v>0.25</v>
      </c>
      <c r="S4">
        <v>0.4</v>
      </c>
      <c r="T4">
        <v>1.1647538014857199</v>
      </c>
      <c r="U4">
        <v>8.0940561784523695</v>
      </c>
      <c r="V4">
        <v>-5.8996069807219102E-2</v>
      </c>
      <c r="W4">
        <v>1.0072142350597299E-3</v>
      </c>
      <c r="X4">
        <v>-35.397641884331399</v>
      </c>
      <c r="Y4">
        <v>36.259712462150603</v>
      </c>
      <c r="AA4">
        <v>-6.8715896580675395E-2</v>
      </c>
      <c r="AB4">
        <v>8.1524486023104702E-3</v>
      </c>
      <c r="AC4">
        <v>0.47577907498014099</v>
      </c>
      <c r="AD4">
        <v>0.01</v>
      </c>
      <c r="AE4">
        <v>1.23</v>
      </c>
      <c r="AF4">
        <v>0.25</v>
      </c>
      <c r="AG4">
        <v>0.4</v>
      </c>
      <c r="AH4">
        <v>1.1647538014857199</v>
      </c>
      <c r="AI4">
        <v>8.0940561784523695</v>
      </c>
      <c r="AJ4">
        <v>-5.8996069807219102E-2</v>
      </c>
      <c r="AK4">
        <v>1.0072142350597299E-3</v>
      </c>
      <c r="AL4">
        <v>-35.397641884331399</v>
      </c>
      <c r="AM4">
        <v>36.259712462150603</v>
      </c>
    </row>
    <row r="5" spans="1:39">
      <c r="F5">
        <v>6</v>
      </c>
      <c r="G5">
        <v>2.25</v>
      </c>
      <c r="H5" t="s">
        <v>35</v>
      </c>
      <c r="I5">
        <v>60</v>
      </c>
      <c r="J5">
        <v>7</v>
      </c>
      <c r="M5">
        <v>-0.13672162325627399</v>
      </c>
      <c r="N5">
        <v>1.3984062640633999E-2</v>
      </c>
      <c r="O5">
        <v>0.40749789481351301</v>
      </c>
      <c r="P5">
        <v>0.01</v>
      </c>
      <c r="Q5">
        <v>1.23</v>
      </c>
      <c r="R5">
        <v>0.25</v>
      </c>
      <c r="S5">
        <v>0.4</v>
      </c>
      <c r="T5">
        <v>1.1647538014857199</v>
      </c>
      <c r="U5">
        <v>8.0940561784523695</v>
      </c>
      <c r="V5">
        <v>-0.117382422862133</v>
      </c>
      <c r="W5">
        <v>1.72769527815507E-3</v>
      </c>
      <c r="X5">
        <v>-70.429453717280197</v>
      </c>
      <c r="Y5">
        <v>62.197030013582598</v>
      </c>
      <c r="AA5">
        <v>-0.13672162325627399</v>
      </c>
      <c r="AB5">
        <v>1.3984062640633999E-2</v>
      </c>
      <c r="AC5">
        <v>0.40749789481351301</v>
      </c>
      <c r="AD5">
        <v>0.01</v>
      </c>
      <c r="AE5">
        <v>1.23</v>
      </c>
      <c r="AF5">
        <v>0.25</v>
      </c>
      <c r="AG5">
        <v>0.4</v>
      </c>
      <c r="AH5">
        <v>1.1647538014857199</v>
      </c>
      <c r="AI5">
        <v>8.0940561784523695</v>
      </c>
      <c r="AJ5">
        <v>-0.117382422862133</v>
      </c>
      <c r="AK5">
        <v>1.72769527815507E-3</v>
      </c>
      <c r="AL5">
        <v>-70.429453717280197</v>
      </c>
      <c r="AM5">
        <v>62.197030013582598</v>
      </c>
    </row>
    <row r="6" spans="1:39">
      <c r="F6">
        <v>5</v>
      </c>
      <c r="G6">
        <v>0.75</v>
      </c>
      <c r="H6" s="1" t="s">
        <v>34</v>
      </c>
      <c r="I6">
        <v>46</v>
      </c>
      <c r="J6">
        <v>3.5</v>
      </c>
      <c r="M6">
        <v>-0.27920153437904899</v>
      </c>
      <c r="N6">
        <v>4.6084533156564599E-2</v>
      </c>
      <c r="O6">
        <v>0.755697124816199</v>
      </c>
      <c r="P6">
        <v>0.01</v>
      </c>
      <c r="Q6">
        <v>1.23</v>
      </c>
      <c r="R6">
        <v>0.25</v>
      </c>
      <c r="S6">
        <v>0.4</v>
      </c>
      <c r="T6">
        <v>1.1647538014857199</v>
      </c>
      <c r="U6">
        <v>8.0940561784523695</v>
      </c>
      <c r="V6">
        <v>-0.239708626855657</v>
      </c>
      <c r="W6">
        <v>5.6936265502145599E-3</v>
      </c>
      <c r="X6">
        <v>-143.82517611339401</v>
      </c>
      <c r="Y6">
        <v>204.970555807724</v>
      </c>
      <c r="AA6">
        <v>-0.27920153437904899</v>
      </c>
      <c r="AB6">
        <v>4.6084533156564599E-2</v>
      </c>
      <c r="AC6">
        <v>0.755697124816199</v>
      </c>
      <c r="AD6">
        <v>0.01</v>
      </c>
      <c r="AE6">
        <v>1.23</v>
      </c>
      <c r="AF6">
        <v>0.25</v>
      </c>
      <c r="AG6">
        <v>0.4</v>
      </c>
      <c r="AH6">
        <v>1.1647538014857199</v>
      </c>
      <c r="AI6">
        <v>8.0940561784523695</v>
      </c>
      <c r="AJ6">
        <v>-0.239708626855657</v>
      </c>
      <c r="AK6">
        <v>5.6936265502145599E-3</v>
      </c>
      <c r="AL6">
        <v>-143.82517611339401</v>
      </c>
      <c r="AM6">
        <v>204.970555807724</v>
      </c>
    </row>
    <row r="7" spans="1:39">
      <c r="F7">
        <v>3</v>
      </c>
      <c r="G7">
        <v>1</v>
      </c>
      <c r="H7" t="s">
        <v>26</v>
      </c>
      <c r="I7">
        <v>107</v>
      </c>
      <c r="J7">
        <v>2</v>
      </c>
      <c r="M7">
        <v>-0.30223115954561203</v>
      </c>
      <c r="N7">
        <v>3.8827613582619297E-2</v>
      </c>
      <c r="O7">
        <v>0.42979437948702598</v>
      </c>
      <c r="P7">
        <v>0.01</v>
      </c>
      <c r="Q7">
        <v>1.23</v>
      </c>
      <c r="R7">
        <v>0.25</v>
      </c>
      <c r="S7">
        <v>0.4</v>
      </c>
      <c r="T7">
        <v>1.1647538014857199</v>
      </c>
      <c r="U7">
        <v>8.0940561784523695</v>
      </c>
      <c r="V7">
        <v>-0.25948072387494803</v>
      </c>
      <c r="W7">
        <v>4.7970526428991597E-3</v>
      </c>
      <c r="X7">
        <v>-155.68843432496899</v>
      </c>
      <c r="Y7">
        <v>172.69389514436901</v>
      </c>
      <c r="AA7">
        <v>-0.30223115954561203</v>
      </c>
      <c r="AB7">
        <v>3.8827613582619297E-2</v>
      </c>
      <c r="AC7">
        <v>0.42979437948702598</v>
      </c>
      <c r="AD7">
        <v>0.01</v>
      </c>
      <c r="AE7">
        <v>1.23</v>
      </c>
      <c r="AF7">
        <v>0.25</v>
      </c>
      <c r="AG7">
        <v>0.4</v>
      </c>
      <c r="AH7">
        <v>1.1647538014857199</v>
      </c>
      <c r="AI7">
        <v>8.0940561784523695</v>
      </c>
      <c r="AJ7">
        <v>-0.25948072387494803</v>
      </c>
      <c r="AK7">
        <v>4.7970526428991597E-3</v>
      </c>
      <c r="AL7">
        <v>-155.68843432496899</v>
      </c>
      <c r="AM7">
        <v>172.69389514436901</v>
      </c>
    </row>
    <row r="8" spans="1:39">
      <c r="F8">
        <v>5</v>
      </c>
      <c r="G8">
        <v>1</v>
      </c>
      <c r="H8" t="s">
        <v>26</v>
      </c>
      <c r="I8">
        <v>97</v>
      </c>
      <c r="J8">
        <v>5</v>
      </c>
    </row>
    <row r="9" spans="1:39">
      <c r="E9">
        <f>E2-E3</f>
        <v>8</v>
      </c>
      <c r="F9">
        <v>5</v>
      </c>
      <c r="G9">
        <v>1</v>
      </c>
      <c r="H9" t="s">
        <v>34</v>
      </c>
      <c r="I9">
        <v>92</v>
      </c>
      <c r="J9">
        <v>6</v>
      </c>
    </row>
    <row r="10" spans="1:39">
      <c r="F10">
        <v>6</v>
      </c>
      <c r="G10">
        <v>1.5</v>
      </c>
      <c r="H10" t="s">
        <v>34</v>
      </c>
      <c r="I10">
        <v>115</v>
      </c>
      <c r="J10">
        <v>9</v>
      </c>
    </row>
    <row r="11" spans="1:39">
      <c r="F11">
        <v>6</v>
      </c>
      <c r="G11">
        <v>2.5</v>
      </c>
      <c r="H11" t="s">
        <v>26</v>
      </c>
      <c r="I11">
        <v>107</v>
      </c>
      <c r="J11">
        <v>6</v>
      </c>
    </row>
    <row r="12" spans="1:39">
      <c r="F12">
        <v>5</v>
      </c>
      <c r="G12">
        <v>1</v>
      </c>
      <c r="H12" t="s">
        <v>26</v>
      </c>
      <c r="I12">
        <v>132</v>
      </c>
      <c r="J12">
        <v>6</v>
      </c>
    </row>
    <row r="13" spans="1:39">
      <c r="F13">
        <v>5</v>
      </c>
      <c r="G13">
        <v>1.5</v>
      </c>
      <c r="H13" t="s">
        <v>34</v>
      </c>
      <c r="I13">
        <v>75</v>
      </c>
      <c r="J13">
        <v>9</v>
      </c>
    </row>
    <row r="14" spans="1:39">
      <c r="F14">
        <v>5</v>
      </c>
      <c r="G14">
        <v>1</v>
      </c>
      <c r="H14" t="s">
        <v>34</v>
      </c>
      <c r="I14">
        <v>73</v>
      </c>
      <c r="J14">
        <v>5</v>
      </c>
    </row>
    <row r="15" spans="1:39">
      <c r="F15">
        <v>6</v>
      </c>
      <c r="G15">
        <v>2.25</v>
      </c>
      <c r="H15" t="s">
        <v>36</v>
      </c>
      <c r="I15">
        <v>125</v>
      </c>
      <c r="J15">
        <v>6</v>
      </c>
    </row>
    <row r="16" spans="1:39">
      <c r="F16">
        <v>5</v>
      </c>
      <c r="G16">
        <v>2</v>
      </c>
      <c r="H16" t="s">
        <v>34</v>
      </c>
      <c r="I16">
        <v>55</v>
      </c>
      <c r="J16">
        <v>9</v>
      </c>
    </row>
    <row r="17" spans="6:10">
      <c r="F17">
        <v>5</v>
      </c>
      <c r="G17">
        <v>1</v>
      </c>
      <c r="H17" t="s">
        <v>37</v>
      </c>
      <c r="I17">
        <v>66</v>
      </c>
      <c r="J17">
        <v>4</v>
      </c>
    </row>
    <row r="18" spans="6:10">
      <c r="F18">
        <v>5</v>
      </c>
      <c r="G18">
        <v>0.75</v>
      </c>
      <c r="H18" t="s">
        <v>26</v>
      </c>
      <c r="I18">
        <v>59</v>
      </c>
      <c r="J18">
        <v>2.5</v>
      </c>
    </row>
    <row r="19" spans="6:10">
      <c r="F19">
        <v>6</v>
      </c>
      <c r="G19">
        <v>1.5</v>
      </c>
      <c r="H19" t="s">
        <v>26</v>
      </c>
      <c r="I19">
        <v>98</v>
      </c>
      <c r="J19">
        <v>3.5</v>
      </c>
    </row>
    <row r="20" spans="6:10">
      <c r="G20">
        <v>1.75</v>
      </c>
      <c r="H20" t="s">
        <v>26</v>
      </c>
      <c r="I20">
        <v>87</v>
      </c>
      <c r="J20">
        <v>2</v>
      </c>
    </row>
    <row r="21" spans="6:10">
      <c r="G21">
        <v>1.75</v>
      </c>
      <c r="H21" t="s">
        <v>26</v>
      </c>
      <c r="I21">
        <v>106</v>
      </c>
      <c r="J21">
        <v>5</v>
      </c>
    </row>
    <row r="22" spans="6:10">
      <c r="G22">
        <v>1.5</v>
      </c>
      <c r="H22" t="s">
        <v>28</v>
      </c>
      <c r="I22">
        <v>15</v>
      </c>
      <c r="J22">
        <v>3.5</v>
      </c>
    </row>
    <row r="23" spans="6:10">
      <c r="G23">
        <v>1.5</v>
      </c>
      <c r="H23" t="s">
        <v>26</v>
      </c>
      <c r="I23">
        <v>98</v>
      </c>
      <c r="J23">
        <v>3</v>
      </c>
    </row>
    <row r="24" spans="6:10">
      <c r="G24">
        <v>0.75</v>
      </c>
      <c r="H24" t="s">
        <v>28</v>
      </c>
      <c r="I24">
        <v>44</v>
      </c>
      <c r="J24">
        <v>8</v>
      </c>
    </row>
    <row r="25" spans="6:10">
      <c r="G25">
        <v>0.5</v>
      </c>
      <c r="H25" t="s">
        <v>26</v>
      </c>
      <c r="I25">
        <v>105</v>
      </c>
      <c r="J25">
        <v>3</v>
      </c>
    </row>
    <row r="26" spans="6:10">
      <c r="G26">
        <v>0.25</v>
      </c>
      <c r="H26" t="s">
        <v>26</v>
      </c>
      <c r="I26">
        <v>108</v>
      </c>
      <c r="J26">
        <v>14</v>
      </c>
    </row>
    <row r="27" spans="6:10">
      <c r="G27">
        <v>1</v>
      </c>
      <c r="H27" t="s">
        <v>26</v>
      </c>
      <c r="I27">
        <v>117</v>
      </c>
      <c r="J27">
        <v>6</v>
      </c>
    </row>
    <row r="28" spans="6:10">
      <c r="G28">
        <v>0.75</v>
      </c>
      <c r="H28" t="s">
        <v>26</v>
      </c>
      <c r="I28">
        <v>124</v>
      </c>
      <c r="J28">
        <v>5</v>
      </c>
    </row>
    <row r="29" spans="6:10">
      <c r="G29">
        <v>0.5</v>
      </c>
      <c r="H29" t="s">
        <v>26</v>
      </c>
      <c r="I29">
        <v>97</v>
      </c>
      <c r="J29">
        <v>4.5</v>
      </c>
    </row>
    <row r="30" spans="6:10">
      <c r="G30">
        <v>1</v>
      </c>
      <c r="H30" t="s">
        <v>28</v>
      </c>
      <c r="I30">
        <v>34</v>
      </c>
      <c r="J30">
        <v>4</v>
      </c>
    </row>
    <row r="31" spans="6:10">
      <c r="G31">
        <v>0.75</v>
      </c>
      <c r="H31" t="s">
        <v>26</v>
      </c>
      <c r="I31">
        <v>20</v>
      </c>
      <c r="J31">
        <v>10</v>
      </c>
    </row>
    <row r="32" spans="6:10">
      <c r="H32" t="s">
        <v>34</v>
      </c>
      <c r="I32">
        <v>50</v>
      </c>
      <c r="J3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2BA4-9259-41F9-A704-755062459AE3}">
  <dimension ref="A1:Y31"/>
  <sheetViews>
    <sheetView workbookViewId="0">
      <selection activeCell="K11" sqref="K11"/>
    </sheetView>
  </sheetViews>
  <sheetFormatPr defaultRowHeight="15"/>
  <cols>
    <col min="9" max="9" width="37.7109375" customWidth="1"/>
    <col min="12" max="12" width="34.85546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40.5" customHeight="1">
      <c r="A2" t="s">
        <v>32</v>
      </c>
      <c r="B2" s="2">
        <v>45902</v>
      </c>
      <c r="C2">
        <v>42.5792</v>
      </c>
      <c r="D2">
        <v>74.482500000000002</v>
      </c>
      <c r="E2">
        <v>2054</v>
      </c>
      <c r="F2">
        <v>6</v>
      </c>
      <c r="G2">
        <v>0.5</v>
      </c>
      <c r="H2" t="s">
        <v>38</v>
      </c>
      <c r="I2">
        <v>50</v>
      </c>
      <c r="J2">
        <v>2</v>
      </c>
      <c r="K2">
        <v>0</v>
      </c>
      <c r="L2" s="1" t="s">
        <v>39</v>
      </c>
      <c r="M2">
        <v>1.6197481463172202E-2</v>
      </c>
      <c r="N2" s="5">
        <v>9.0241650657673104E-4</v>
      </c>
      <c r="O2">
        <v>0.62451942533979798</v>
      </c>
      <c r="P2">
        <v>0.01</v>
      </c>
      <c r="Q2">
        <v>1.23</v>
      </c>
      <c r="R2">
        <v>0.25</v>
      </c>
      <c r="S2">
        <v>0.4</v>
      </c>
      <c r="T2">
        <v>1.1647538014857199</v>
      </c>
      <c r="U2">
        <v>8.0940561784523695</v>
      </c>
      <c r="V2">
        <v>1.3906356384079799E-2</v>
      </c>
      <c r="W2" s="5">
        <v>1.1149125811346601E-4</v>
      </c>
      <c r="X2">
        <v>8.3438138304479104</v>
      </c>
      <c r="Y2">
        <v>4.0136852920847801</v>
      </c>
    </row>
    <row r="3" spans="1:25">
      <c r="C3">
        <v>42.5792</v>
      </c>
      <c r="D3">
        <v>74.479200000000006</v>
      </c>
      <c r="E3">
        <v>2046</v>
      </c>
      <c r="F3">
        <v>6</v>
      </c>
      <c r="G3">
        <v>0.75</v>
      </c>
      <c r="H3" t="s">
        <v>26</v>
      </c>
      <c r="I3">
        <v>7</v>
      </c>
      <c r="J3">
        <v>2</v>
      </c>
      <c r="M3">
        <v>1.9666673058183901E-2</v>
      </c>
      <c r="N3" s="5">
        <v>6.3656282948656301E-4</v>
      </c>
      <c r="O3">
        <v>0.46961109425095598</v>
      </c>
      <c r="P3">
        <v>0.01</v>
      </c>
      <c r="Q3">
        <v>1.23</v>
      </c>
      <c r="R3">
        <v>0.25</v>
      </c>
      <c r="S3">
        <v>0.4</v>
      </c>
      <c r="T3">
        <v>1.1647538014857199</v>
      </c>
      <c r="U3">
        <v>8.0940561784523695</v>
      </c>
      <c r="V3">
        <v>1.6884832685755399E-2</v>
      </c>
      <c r="W3" s="5">
        <v>7.8645714268847197E-5</v>
      </c>
      <c r="X3">
        <v>10.1308996114532</v>
      </c>
      <c r="Y3">
        <v>2.8312457136784999</v>
      </c>
    </row>
    <row r="4" spans="1:25">
      <c r="F4">
        <v>6</v>
      </c>
      <c r="G4">
        <v>1</v>
      </c>
      <c r="H4" t="s">
        <v>26</v>
      </c>
      <c r="I4">
        <v>52</v>
      </c>
      <c r="J4">
        <v>1.5</v>
      </c>
      <c r="M4">
        <v>1.6075151262677102E-2</v>
      </c>
      <c r="N4" s="5">
        <v>9.1419832284198098E-4</v>
      </c>
      <c r="O4">
        <v>0.62661581264990696</v>
      </c>
      <c r="P4">
        <v>0.01</v>
      </c>
      <c r="Q4">
        <v>1.23</v>
      </c>
      <c r="R4">
        <v>0.25</v>
      </c>
      <c r="S4">
        <v>0.4</v>
      </c>
      <c r="T4">
        <v>1.1647538014857199</v>
      </c>
      <c r="U4">
        <v>8.0940561784523695</v>
      </c>
      <c r="V4">
        <v>1.3801329724935999E-2</v>
      </c>
      <c r="W4" s="5">
        <v>1.12946871467944E-4</v>
      </c>
      <c r="X4">
        <v>8.2807978349616196</v>
      </c>
      <c r="Y4">
        <v>4.0660873728459901</v>
      </c>
    </row>
    <row r="5" spans="1:25">
      <c r="F5">
        <v>6</v>
      </c>
      <c r="G5">
        <v>1.25</v>
      </c>
      <c r="H5" t="s">
        <v>34</v>
      </c>
      <c r="I5">
        <v>112</v>
      </c>
      <c r="J5">
        <v>1.5</v>
      </c>
    </row>
    <row r="6" spans="1:25" ht="45">
      <c r="F6">
        <v>6</v>
      </c>
      <c r="G6">
        <v>1.25</v>
      </c>
      <c r="H6" s="1" t="s">
        <v>40</v>
      </c>
      <c r="I6">
        <v>40</v>
      </c>
      <c r="J6">
        <v>3.5</v>
      </c>
    </row>
    <row r="7" spans="1:25">
      <c r="F7">
        <v>6</v>
      </c>
      <c r="G7">
        <v>0.5</v>
      </c>
      <c r="H7" t="s">
        <v>41</v>
      </c>
      <c r="I7">
        <v>67</v>
      </c>
      <c r="J7">
        <v>3</v>
      </c>
    </row>
    <row r="8" spans="1:25">
      <c r="F8">
        <v>6</v>
      </c>
      <c r="G8">
        <v>4.5</v>
      </c>
      <c r="H8" t="s">
        <v>30</v>
      </c>
      <c r="I8">
        <v>0</v>
      </c>
      <c r="J8">
        <v>0</v>
      </c>
    </row>
    <row r="9" spans="1:25">
      <c r="E9">
        <f>E2-E3</f>
        <v>8</v>
      </c>
      <c r="F9">
        <v>6</v>
      </c>
      <c r="G9">
        <v>0.25</v>
      </c>
      <c r="H9" t="s">
        <v>38</v>
      </c>
      <c r="I9">
        <v>18</v>
      </c>
      <c r="J9">
        <v>4.5</v>
      </c>
    </row>
    <row r="10" spans="1:25">
      <c r="F10">
        <v>6</v>
      </c>
      <c r="G10">
        <v>0.5</v>
      </c>
      <c r="H10" t="s">
        <v>42</v>
      </c>
      <c r="I10">
        <v>700</v>
      </c>
      <c r="J10">
        <v>2</v>
      </c>
    </row>
    <row r="11" spans="1:25">
      <c r="F11">
        <v>5</v>
      </c>
      <c r="G11">
        <v>0.25</v>
      </c>
      <c r="H11" t="s">
        <v>43</v>
      </c>
      <c r="I11">
        <v>0</v>
      </c>
      <c r="J11">
        <v>0</v>
      </c>
    </row>
    <row r="12" spans="1:25">
      <c r="F12">
        <v>5</v>
      </c>
      <c r="G12">
        <v>0.25</v>
      </c>
      <c r="H12" t="s">
        <v>26</v>
      </c>
      <c r="I12">
        <v>8</v>
      </c>
      <c r="J12">
        <v>2</v>
      </c>
    </row>
    <row r="13" spans="1:25">
      <c r="F13">
        <v>5</v>
      </c>
      <c r="G13">
        <v>0.75</v>
      </c>
      <c r="H13" t="s">
        <v>26</v>
      </c>
      <c r="I13">
        <v>65</v>
      </c>
      <c r="J13">
        <v>1</v>
      </c>
    </row>
    <row r="14" spans="1:25">
      <c r="F14">
        <v>5</v>
      </c>
      <c r="G14">
        <v>1.5</v>
      </c>
      <c r="H14" t="s">
        <v>28</v>
      </c>
      <c r="I14">
        <v>72</v>
      </c>
      <c r="J14">
        <v>1</v>
      </c>
    </row>
    <row r="15" spans="1:25">
      <c r="F15">
        <v>5</v>
      </c>
      <c r="G15">
        <v>0</v>
      </c>
      <c r="H15" t="s">
        <v>34</v>
      </c>
      <c r="I15">
        <v>125</v>
      </c>
      <c r="J15">
        <v>2</v>
      </c>
    </row>
    <row r="16" spans="1:25">
      <c r="F16">
        <v>5</v>
      </c>
      <c r="G16">
        <v>1</v>
      </c>
      <c r="H16" t="s">
        <v>26</v>
      </c>
      <c r="I16">
        <v>84</v>
      </c>
      <c r="J16">
        <v>1.5</v>
      </c>
    </row>
    <row r="17" spans="6:10">
      <c r="F17">
        <v>3</v>
      </c>
      <c r="G17">
        <v>0</v>
      </c>
      <c r="H17" t="s">
        <v>44</v>
      </c>
      <c r="I17">
        <v>0</v>
      </c>
      <c r="J17">
        <v>10</v>
      </c>
    </row>
    <row r="18" spans="6:10">
      <c r="F18">
        <v>4</v>
      </c>
      <c r="G18">
        <v>0</v>
      </c>
      <c r="H18" t="s">
        <v>44</v>
      </c>
      <c r="I18">
        <v>0</v>
      </c>
      <c r="J18">
        <v>10</v>
      </c>
    </row>
    <row r="19" spans="6:10">
      <c r="F19">
        <v>4</v>
      </c>
      <c r="G19">
        <v>0</v>
      </c>
      <c r="H19" t="s">
        <v>44</v>
      </c>
      <c r="I19">
        <v>0</v>
      </c>
      <c r="J19">
        <v>10</v>
      </c>
    </row>
    <row r="20" spans="6:10">
      <c r="G20">
        <v>0</v>
      </c>
      <c r="H20" t="s">
        <v>44</v>
      </c>
      <c r="I20">
        <v>0</v>
      </c>
      <c r="J20">
        <v>10</v>
      </c>
    </row>
    <row r="21" spans="6:10">
      <c r="G21">
        <v>0</v>
      </c>
      <c r="H21" t="s">
        <v>44</v>
      </c>
      <c r="I21">
        <v>0</v>
      </c>
      <c r="J21">
        <v>10</v>
      </c>
    </row>
    <row r="22" spans="6:10">
      <c r="G22">
        <v>0</v>
      </c>
      <c r="H22" t="s">
        <v>44</v>
      </c>
      <c r="I22">
        <v>0</v>
      </c>
      <c r="J22">
        <v>10</v>
      </c>
    </row>
    <row r="23" spans="6:10">
      <c r="G23">
        <v>0</v>
      </c>
      <c r="H23" t="s">
        <v>44</v>
      </c>
      <c r="I23">
        <v>0</v>
      </c>
      <c r="J23">
        <v>10</v>
      </c>
    </row>
    <row r="24" spans="6:10">
      <c r="G24">
        <v>0</v>
      </c>
      <c r="H24" t="s">
        <v>44</v>
      </c>
      <c r="I24">
        <v>0</v>
      </c>
      <c r="J24">
        <v>10</v>
      </c>
    </row>
    <row r="25" spans="6:10">
      <c r="G25">
        <v>0</v>
      </c>
      <c r="H25" t="s">
        <v>44</v>
      </c>
      <c r="I25">
        <v>0</v>
      </c>
      <c r="J25">
        <v>10</v>
      </c>
    </row>
    <row r="26" spans="6:10">
      <c r="G26">
        <v>0</v>
      </c>
      <c r="H26" t="s">
        <v>44</v>
      </c>
      <c r="I26">
        <v>0</v>
      </c>
      <c r="J26">
        <v>10</v>
      </c>
    </row>
    <row r="27" spans="6:10">
      <c r="G27">
        <v>0</v>
      </c>
      <c r="H27" t="s">
        <v>44</v>
      </c>
      <c r="I27">
        <v>0</v>
      </c>
      <c r="J27">
        <v>10</v>
      </c>
    </row>
    <row r="28" spans="6:10">
      <c r="G28">
        <v>0</v>
      </c>
      <c r="H28" t="s">
        <v>26</v>
      </c>
      <c r="I28">
        <v>18</v>
      </c>
      <c r="J28">
        <v>2</v>
      </c>
    </row>
    <row r="29" spans="6:10">
      <c r="G29">
        <v>0</v>
      </c>
      <c r="H29" t="s">
        <v>26</v>
      </c>
      <c r="I29">
        <v>9</v>
      </c>
      <c r="J29">
        <v>7</v>
      </c>
    </row>
    <row r="30" spans="6:10">
      <c r="G30">
        <v>0</v>
      </c>
      <c r="H30" t="s">
        <v>26</v>
      </c>
      <c r="I30">
        <v>8</v>
      </c>
      <c r="J30">
        <v>7</v>
      </c>
    </row>
    <row r="31" spans="6:10">
      <c r="G31">
        <v>0</v>
      </c>
      <c r="H31" t="s">
        <v>26</v>
      </c>
      <c r="I31">
        <v>6</v>
      </c>
      <c r="J3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1613-3831-40C2-BB93-6C59670DC86D}">
  <dimension ref="A1:AK31"/>
  <sheetViews>
    <sheetView workbookViewId="0">
      <selection activeCell="E9" sqref="E9"/>
    </sheetView>
  </sheetViews>
  <sheetFormatPr defaultRowHeight="15"/>
  <cols>
    <col min="1" max="1" width="11.7109375" customWidth="1"/>
    <col min="3" max="3" width="17" customWidth="1"/>
    <col min="4" max="4" width="19.7109375" customWidth="1"/>
    <col min="5" max="5" width="16.5703125" bestFit="1" customWidth="1"/>
    <col min="6" max="6" width="20.85546875" customWidth="1"/>
    <col min="7" max="7" width="12.7109375" customWidth="1"/>
    <col min="8" max="8" width="14.85546875" customWidth="1"/>
    <col min="9" max="9" width="15.28515625" bestFit="1" customWidth="1"/>
    <col min="10" max="10" width="17.42578125" customWidth="1"/>
    <col min="12" max="12" width="36.570312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7" ht="30">
      <c r="A2" t="s">
        <v>45</v>
      </c>
      <c r="B2" s="2">
        <v>45902</v>
      </c>
      <c r="C2">
        <v>42.654088999999999</v>
      </c>
      <c r="D2">
        <v>74.494349999999997</v>
      </c>
      <c r="E2">
        <v>1570.6</v>
      </c>
      <c r="F2">
        <v>5</v>
      </c>
      <c r="G2">
        <v>2.5</v>
      </c>
      <c r="H2" t="s">
        <v>26</v>
      </c>
      <c r="I2">
        <v>16</v>
      </c>
      <c r="J2">
        <v>1.5</v>
      </c>
      <c r="K2">
        <v>19</v>
      </c>
      <c r="L2" s="1" t="s">
        <v>46</v>
      </c>
      <c r="M2">
        <v>-3.8448761083079798E-2</v>
      </c>
      <c r="N2">
        <v>1.2735184593317E-2</v>
      </c>
      <c r="O2">
        <v>0.26866739653281502</v>
      </c>
      <c r="P2">
        <v>1.9E-2</v>
      </c>
      <c r="Q2">
        <v>1.31</v>
      </c>
      <c r="R2">
        <v>4.9000000000000002E-2</v>
      </c>
      <c r="S2">
        <v>0.3</v>
      </c>
      <c r="T2">
        <v>1.21953064050154</v>
      </c>
      <c r="U2">
        <v>6.1090198565416003</v>
      </c>
      <c r="V2">
        <v>-3.1527507227917903E-2</v>
      </c>
      <c r="W2">
        <v>2.0846526762685301E-3</v>
      </c>
      <c r="X2">
        <v>-18.916504336750702</v>
      </c>
      <c r="Y2">
        <v>75.047496345667199</v>
      </c>
    </row>
    <row r="3" spans="1:37">
      <c r="C3">
        <v>42.654277</v>
      </c>
      <c r="D3">
        <v>74.494653999999997</v>
      </c>
      <c r="E3">
        <v>1566.2</v>
      </c>
      <c r="F3">
        <v>1</v>
      </c>
      <c r="G3">
        <v>3.25</v>
      </c>
      <c r="H3" t="s">
        <v>26</v>
      </c>
      <c r="I3">
        <v>7</v>
      </c>
      <c r="J3">
        <v>0.5</v>
      </c>
      <c r="M3">
        <v>-6.0473825059023101E-2</v>
      </c>
      <c r="N3">
        <v>1.1622964774352E-2</v>
      </c>
      <c r="O3">
        <v>8.3108923659784395E-2</v>
      </c>
      <c r="P3">
        <v>1.9E-2</v>
      </c>
      <c r="Q3">
        <v>1.31</v>
      </c>
      <c r="R3">
        <v>4.9000000000000002E-2</v>
      </c>
      <c r="S3">
        <v>0.3</v>
      </c>
      <c r="T3">
        <v>1.21953064050154</v>
      </c>
      <c r="U3">
        <v>6.1090198565416003</v>
      </c>
      <c r="V3">
        <v>-4.9587786522651597E-2</v>
      </c>
      <c r="W3">
        <v>1.9025907669797499E-3</v>
      </c>
      <c r="X3">
        <v>-29.752671913590898</v>
      </c>
      <c r="Y3">
        <v>68.493267611271094</v>
      </c>
    </row>
    <row r="4" spans="1:37">
      <c r="F4">
        <v>4</v>
      </c>
      <c r="G4">
        <v>2</v>
      </c>
      <c r="H4" t="s">
        <v>43</v>
      </c>
      <c r="I4">
        <v>0</v>
      </c>
      <c r="J4">
        <v>2</v>
      </c>
      <c r="M4">
        <v>5.2489243961448599E-2</v>
      </c>
      <c r="N4">
        <v>4.0284239409028796E-3</v>
      </c>
      <c r="O4">
        <v>3.0480280025292399E-2</v>
      </c>
      <c r="P4">
        <v>1.9E-2</v>
      </c>
      <c r="Q4">
        <v>1.31</v>
      </c>
      <c r="R4">
        <v>4.9000000000000002E-2</v>
      </c>
      <c r="S4">
        <v>0.3</v>
      </c>
      <c r="T4">
        <v>1.21953064050154</v>
      </c>
      <c r="U4">
        <v>6.1090198565416003</v>
      </c>
      <c r="V4">
        <v>4.3040529051292901E-2</v>
      </c>
      <c r="W4" s="5">
        <v>6.5942230267744203E-4</v>
      </c>
      <c r="X4">
        <v>25.8243174307757</v>
      </c>
      <c r="Y4">
        <v>23.739202896387901</v>
      </c>
      <c r="AK4" s="5"/>
    </row>
    <row r="5" spans="1:37">
      <c r="F5">
        <v>2</v>
      </c>
      <c r="G5">
        <v>1.5</v>
      </c>
      <c r="H5" t="s">
        <v>30</v>
      </c>
      <c r="I5">
        <v>0</v>
      </c>
      <c r="J5">
        <v>1</v>
      </c>
      <c r="M5">
        <v>2.8575849683775301E-2</v>
      </c>
      <c r="N5">
        <v>8.2209108006050802E-3</v>
      </c>
      <c r="O5">
        <v>3.5472996842396201E-2</v>
      </c>
      <c r="P5">
        <v>1.9E-2</v>
      </c>
      <c r="Q5">
        <v>1.31</v>
      </c>
      <c r="R5">
        <v>4.9000000000000002E-2</v>
      </c>
      <c r="S5">
        <v>0.3</v>
      </c>
      <c r="T5">
        <v>1.21953064050154</v>
      </c>
      <c r="U5">
        <v>6.1090198565416003</v>
      </c>
      <c r="V5">
        <v>2.34318423291302E-2</v>
      </c>
      <c r="W5">
        <v>1.3457004550086701E-3</v>
      </c>
      <c r="X5">
        <v>14.059105397478101</v>
      </c>
      <c r="Y5">
        <v>48.445216380312402</v>
      </c>
    </row>
    <row r="6" spans="1:37">
      <c r="F6">
        <v>5</v>
      </c>
      <c r="G6">
        <v>3</v>
      </c>
      <c r="H6" t="s">
        <v>43</v>
      </c>
      <c r="I6">
        <v>0</v>
      </c>
      <c r="J6">
        <v>3.5</v>
      </c>
      <c r="M6">
        <v>0.105904452606763</v>
      </c>
      <c r="N6">
        <v>1.2119975017154901E-2</v>
      </c>
      <c r="O6">
        <v>5.5867483926801999E-2</v>
      </c>
      <c r="P6">
        <v>1.9E-2</v>
      </c>
      <c r="Q6">
        <v>1.31</v>
      </c>
      <c r="R6">
        <v>4.9000000000000002E-2</v>
      </c>
      <c r="S6">
        <v>0.3</v>
      </c>
      <c r="T6">
        <v>1.21953064050154</v>
      </c>
      <c r="U6">
        <v>6.1090198565416003</v>
      </c>
      <c r="V6">
        <v>8.6840337659092104E-2</v>
      </c>
      <c r="W6">
        <v>1.9839475565260598E-3</v>
      </c>
      <c r="X6">
        <v>52.104202595455199</v>
      </c>
      <c r="Y6">
        <v>71.422112034938195</v>
      </c>
    </row>
    <row r="7" spans="1:37">
      <c r="F7">
        <v>1</v>
      </c>
      <c r="G7">
        <v>2.75</v>
      </c>
      <c r="H7" t="s">
        <v>43</v>
      </c>
      <c r="I7">
        <v>0</v>
      </c>
      <c r="J7">
        <v>1</v>
      </c>
      <c r="M7">
        <v>-0.23645656491081099</v>
      </c>
      <c r="N7">
        <v>1.37376948283161E-2</v>
      </c>
      <c r="O7">
        <v>1.3773776037719501E-2</v>
      </c>
      <c r="P7">
        <v>1.9E-2</v>
      </c>
      <c r="Q7">
        <v>1.31</v>
      </c>
      <c r="R7">
        <v>4.9000000000000002E-2</v>
      </c>
      <c r="S7">
        <v>0.3</v>
      </c>
      <c r="T7">
        <v>1.21953064050154</v>
      </c>
      <c r="U7">
        <v>6.1090198565416003</v>
      </c>
      <c r="V7">
        <v>-0.19389145057771201</v>
      </c>
      <c r="W7">
        <v>2.2487559626452398E-3</v>
      </c>
      <c r="X7">
        <v>-116.334870346627</v>
      </c>
      <c r="Y7">
        <v>80.955214655228701</v>
      </c>
    </row>
    <row r="8" spans="1:37">
      <c r="F8">
        <v>1</v>
      </c>
      <c r="G8">
        <v>1</v>
      </c>
      <c r="H8" t="s">
        <v>36</v>
      </c>
      <c r="I8">
        <v>0</v>
      </c>
      <c r="J8">
        <v>5</v>
      </c>
      <c r="M8">
        <v>-3.6302274912299302E-3</v>
      </c>
      <c r="N8">
        <v>1.02266269380077E-2</v>
      </c>
      <c r="O8">
        <v>0.65939918791487595</v>
      </c>
      <c r="P8">
        <v>1.9E-2</v>
      </c>
      <c r="Q8">
        <v>1.31</v>
      </c>
      <c r="R8">
        <v>4.9000000000000002E-2</v>
      </c>
      <c r="S8">
        <v>0.3</v>
      </c>
      <c r="T8">
        <v>1.21953064050154</v>
      </c>
      <c r="U8">
        <v>6.1090198565416003</v>
      </c>
      <c r="V8">
        <v>-2.97674151896418E-3</v>
      </c>
      <c r="W8">
        <v>1.67402090321526E-3</v>
      </c>
      <c r="X8">
        <v>-1.78604491137851</v>
      </c>
      <c r="Y8">
        <v>60.2647525157494</v>
      </c>
    </row>
    <row r="9" spans="1:37">
      <c r="E9">
        <f>E2-E3</f>
        <v>4.3999999999998636</v>
      </c>
      <c r="F9">
        <v>1</v>
      </c>
      <c r="G9">
        <v>2.5</v>
      </c>
      <c r="H9" t="s">
        <v>26</v>
      </c>
      <c r="I9">
        <v>4</v>
      </c>
      <c r="J9">
        <v>2</v>
      </c>
      <c r="M9">
        <v>4.44583892014868E-2</v>
      </c>
      <c r="N9">
        <v>2.9612636537549699E-3</v>
      </c>
      <c r="O9">
        <v>0.63671851470356899</v>
      </c>
      <c r="P9">
        <v>1.9E-2</v>
      </c>
      <c r="Q9">
        <v>1.31</v>
      </c>
      <c r="R9">
        <v>4.9000000000000002E-2</v>
      </c>
      <c r="S9">
        <v>0.3</v>
      </c>
      <c r="T9">
        <v>1.21953064050154</v>
      </c>
      <c r="U9">
        <v>6.1090198565416003</v>
      </c>
      <c r="V9">
        <v>3.6455327750685197E-2</v>
      </c>
      <c r="W9" s="5">
        <v>4.8473629539508197E-4</v>
      </c>
      <c r="X9">
        <v>21.873196650411099</v>
      </c>
      <c r="Y9">
        <v>17.450506634222901</v>
      </c>
      <c r="AK9" s="5"/>
    </row>
    <row r="10" spans="1:37">
      <c r="F10">
        <v>1</v>
      </c>
      <c r="G10">
        <v>1</v>
      </c>
      <c r="H10" t="s">
        <v>43</v>
      </c>
      <c r="I10">
        <v>0</v>
      </c>
      <c r="J10">
        <v>0.5</v>
      </c>
      <c r="M10">
        <v>5.6114984545181497E-2</v>
      </c>
      <c r="N10">
        <v>6.0426636549256903E-3</v>
      </c>
      <c r="O10">
        <v>0.23466825222649301</v>
      </c>
      <c r="P10">
        <v>1.9E-2</v>
      </c>
      <c r="Q10">
        <v>1.31</v>
      </c>
      <c r="R10">
        <v>4.9000000000000002E-2</v>
      </c>
      <c r="S10">
        <v>0.3</v>
      </c>
      <c r="T10">
        <v>1.21953064050154</v>
      </c>
      <c r="U10">
        <v>6.1090198565416003</v>
      </c>
      <c r="V10">
        <v>4.6013591361758401E-2</v>
      </c>
      <c r="W10" s="5">
        <v>9.8913799542739195E-4</v>
      </c>
      <c r="X10">
        <v>27.608154817054999</v>
      </c>
      <c r="Y10">
        <v>35.608967835386103</v>
      </c>
      <c r="AK10" s="5"/>
    </row>
    <row r="11" spans="1:37">
      <c r="F11">
        <v>1</v>
      </c>
      <c r="G11">
        <v>2</v>
      </c>
      <c r="H11" t="s">
        <v>47</v>
      </c>
      <c r="I11">
        <v>55</v>
      </c>
      <c r="J11">
        <v>0</v>
      </c>
    </row>
    <row r="12" spans="1:37">
      <c r="F12">
        <v>5</v>
      </c>
      <c r="G12">
        <v>3.5</v>
      </c>
      <c r="H12" t="s">
        <v>28</v>
      </c>
      <c r="I12">
        <v>44</v>
      </c>
      <c r="J12">
        <v>0.5</v>
      </c>
    </row>
    <row r="13" spans="1:37">
      <c r="F13">
        <v>2</v>
      </c>
      <c r="G13">
        <v>1.75</v>
      </c>
      <c r="H13" t="s">
        <v>28</v>
      </c>
      <c r="I13">
        <v>19</v>
      </c>
      <c r="J13">
        <v>0</v>
      </c>
    </row>
    <row r="14" spans="1:37">
      <c r="F14">
        <v>2</v>
      </c>
      <c r="G14">
        <v>1.5</v>
      </c>
      <c r="H14" t="s">
        <v>47</v>
      </c>
      <c r="I14">
        <v>37</v>
      </c>
      <c r="J14">
        <v>1</v>
      </c>
    </row>
    <row r="15" spans="1:37">
      <c r="F15">
        <v>1</v>
      </c>
      <c r="G15">
        <v>2</v>
      </c>
      <c r="H15" t="s">
        <v>26</v>
      </c>
      <c r="I15">
        <v>8</v>
      </c>
      <c r="J15">
        <v>0</v>
      </c>
    </row>
    <row r="16" spans="1:37">
      <c r="F16">
        <v>5</v>
      </c>
      <c r="G16">
        <v>1</v>
      </c>
      <c r="H16" t="s">
        <v>30</v>
      </c>
      <c r="I16">
        <v>0</v>
      </c>
      <c r="J16">
        <v>5</v>
      </c>
    </row>
    <row r="17" spans="6:10">
      <c r="F17">
        <v>1</v>
      </c>
      <c r="G17">
        <v>0.25</v>
      </c>
      <c r="H17" t="s">
        <v>43</v>
      </c>
      <c r="I17">
        <v>0</v>
      </c>
      <c r="J17">
        <v>0</v>
      </c>
    </row>
    <row r="18" spans="6:10">
      <c r="F18">
        <v>1</v>
      </c>
      <c r="G18">
        <v>0.75</v>
      </c>
      <c r="H18" t="s">
        <v>47</v>
      </c>
      <c r="I18">
        <v>56</v>
      </c>
      <c r="J18">
        <v>0</v>
      </c>
    </row>
    <row r="19" spans="6:10">
      <c r="F19">
        <v>2</v>
      </c>
      <c r="G19">
        <v>0.75</v>
      </c>
      <c r="H19" t="s">
        <v>26</v>
      </c>
      <c r="I19">
        <v>20</v>
      </c>
      <c r="J19">
        <v>0</v>
      </c>
    </row>
    <row r="20" spans="6:10">
      <c r="G20">
        <v>2.75</v>
      </c>
      <c r="H20" t="s">
        <v>28</v>
      </c>
      <c r="I20">
        <v>47</v>
      </c>
      <c r="J20">
        <v>0.5</v>
      </c>
    </row>
    <row r="21" spans="6:10">
      <c r="G21">
        <v>3.5</v>
      </c>
      <c r="H21" t="s">
        <v>47</v>
      </c>
      <c r="I21">
        <v>22</v>
      </c>
      <c r="J21">
        <v>0</v>
      </c>
    </row>
    <row r="22" spans="6:10">
      <c r="G22">
        <v>2.5</v>
      </c>
      <c r="H22" t="s">
        <v>26</v>
      </c>
      <c r="I22">
        <v>19</v>
      </c>
      <c r="J22">
        <v>0</v>
      </c>
    </row>
    <row r="23" spans="6:10">
      <c r="G23">
        <v>3</v>
      </c>
      <c r="H23" t="s">
        <v>26</v>
      </c>
      <c r="I23">
        <v>40</v>
      </c>
      <c r="J23">
        <v>0</v>
      </c>
    </row>
    <row r="24" spans="6:10">
      <c r="G24">
        <v>1</v>
      </c>
      <c r="H24" t="s">
        <v>26</v>
      </c>
      <c r="I24">
        <v>5</v>
      </c>
      <c r="J24">
        <v>1</v>
      </c>
    </row>
    <row r="25" spans="6:10">
      <c r="G25">
        <v>1</v>
      </c>
      <c r="H25" t="s">
        <v>30</v>
      </c>
      <c r="I25">
        <v>0</v>
      </c>
      <c r="J25">
        <v>0.5</v>
      </c>
    </row>
    <row r="26" spans="6:10">
      <c r="G26">
        <v>1.5</v>
      </c>
      <c r="H26" t="s">
        <v>36</v>
      </c>
      <c r="I26">
        <v>0</v>
      </c>
      <c r="J26">
        <v>1.5</v>
      </c>
    </row>
    <row r="27" spans="6:10">
      <c r="G27">
        <v>0.25</v>
      </c>
      <c r="H27" t="s">
        <v>26</v>
      </c>
      <c r="I27">
        <v>7</v>
      </c>
      <c r="J27">
        <v>2</v>
      </c>
    </row>
    <row r="28" spans="6:10">
      <c r="G28">
        <v>0.25</v>
      </c>
      <c r="H28" t="s">
        <v>43</v>
      </c>
      <c r="I28">
        <v>0</v>
      </c>
      <c r="J28">
        <v>1</v>
      </c>
    </row>
    <row r="29" spans="6:10">
      <c r="G29">
        <v>0</v>
      </c>
      <c r="H29" t="s">
        <v>43</v>
      </c>
      <c r="I29">
        <v>0</v>
      </c>
      <c r="J29">
        <v>2.5</v>
      </c>
    </row>
    <row r="30" spans="6:10">
      <c r="G30">
        <v>0</v>
      </c>
      <c r="H30" t="s">
        <v>26</v>
      </c>
      <c r="I30">
        <v>20</v>
      </c>
      <c r="J30">
        <v>0.5</v>
      </c>
    </row>
    <row r="31" spans="6:10">
      <c r="G31">
        <v>0.5</v>
      </c>
      <c r="H31" t="s">
        <v>26</v>
      </c>
      <c r="I31">
        <v>23</v>
      </c>
      <c r="J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7F42-FD0B-4291-9E76-96296CBFB528}">
  <dimension ref="A1:AK32"/>
  <sheetViews>
    <sheetView topLeftCell="D1" workbookViewId="0">
      <selection activeCell="E9" sqref="E9"/>
    </sheetView>
  </sheetViews>
  <sheetFormatPr defaultRowHeight="15"/>
  <cols>
    <col min="1" max="1" width="15.5703125" customWidth="1"/>
    <col min="3" max="3" width="16.42578125" bestFit="1" customWidth="1"/>
    <col min="4" max="4" width="16.42578125" customWidth="1"/>
    <col min="5" max="5" width="12.42578125" customWidth="1"/>
    <col min="6" max="6" width="16.7109375" customWidth="1"/>
    <col min="7" max="7" width="14.85546875" customWidth="1"/>
    <col min="8" max="8" width="15.28515625" bestFit="1" customWidth="1"/>
    <col min="9" max="9" width="17.42578125" customWidth="1"/>
    <col min="11" max="11" width="12.7109375" customWidth="1"/>
    <col min="12" max="12" width="31.2851562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7">
      <c r="A2" t="s">
        <v>48</v>
      </c>
      <c r="B2" s="2">
        <v>45903</v>
      </c>
      <c r="C2">
        <v>42.543038000000003</v>
      </c>
      <c r="D2">
        <v>74.518112000000002</v>
      </c>
      <c r="E2">
        <v>3002.5</v>
      </c>
      <c r="F2">
        <v>6</v>
      </c>
      <c r="G2">
        <v>0.25</v>
      </c>
      <c r="H2" t="s">
        <v>28</v>
      </c>
      <c r="I2">
        <v>15</v>
      </c>
      <c r="J2">
        <v>2</v>
      </c>
      <c r="K2">
        <v>0</v>
      </c>
      <c r="L2" t="s">
        <v>49</v>
      </c>
      <c r="M2">
        <v>8.66013872606788E-2</v>
      </c>
      <c r="N2">
        <v>6.18979883295362E-3</v>
      </c>
      <c r="O2">
        <v>0.37611122888753701</v>
      </c>
      <c r="P2">
        <v>0.02</v>
      </c>
      <c r="Q2">
        <v>1.41</v>
      </c>
      <c r="R2">
        <v>0.3</v>
      </c>
      <c r="S2">
        <v>0.44999999999999901</v>
      </c>
      <c r="T2">
        <v>1.0595429738497899</v>
      </c>
      <c r="U2">
        <v>7.3679325598285201</v>
      </c>
      <c r="V2">
        <v>8.1734662395067395E-2</v>
      </c>
      <c r="W2" s="5">
        <v>8.4009982212672105E-4</v>
      </c>
      <c r="X2">
        <v>49.040797437040403</v>
      </c>
      <c r="Y2">
        <v>30.243593596561901</v>
      </c>
      <c r="AK2" s="5"/>
    </row>
    <row r="3" spans="1:37">
      <c r="C3">
        <v>42.542873999999998</v>
      </c>
      <c r="D3">
        <v>74.518214</v>
      </c>
      <c r="E3">
        <v>2992.7</v>
      </c>
      <c r="F3">
        <v>6</v>
      </c>
      <c r="G3">
        <v>0.75</v>
      </c>
      <c r="H3" t="s">
        <v>26</v>
      </c>
      <c r="I3">
        <v>18</v>
      </c>
      <c r="J3">
        <v>3</v>
      </c>
      <c r="M3">
        <v>-1.6273290573474802E-2</v>
      </c>
      <c r="N3">
        <v>1.02517861812698E-2</v>
      </c>
      <c r="O3">
        <v>6.0568004462087502E-2</v>
      </c>
      <c r="P3">
        <v>0.02</v>
      </c>
      <c r="Q3">
        <v>1.41</v>
      </c>
      <c r="R3">
        <v>0.3</v>
      </c>
      <c r="S3">
        <v>0.44999999999999901</v>
      </c>
      <c r="T3">
        <v>1.0595429738497899</v>
      </c>
      <c r="U3">
        <v>7.3679325598285201</v>
      </c>
      <c r="V3">
        <v>-1.5358782961248501E-2</v>
      </c>
      <c r="W3">
        <v>1.39140608278157E-3</v>
      </c>
      <c r="X3">
        <v>-9.2152697767491496</v>
      </c>
      <c r="Y3">
        <v>50.090618980136803</v>
      </c>
    </row>
    <row r="4" spans="1:37">
      <c r="F4">
        <v>5</v>
      </c>
      <c r="G4">
        <v>0.5</v>
      </c>
      <c r="H4" t="s">
        <v>28</v>
      </c>
      <c r="I4">
        <v>13</v>
      </c>
      <c r="J4">
        <v>4.5</v>
      </c>
      <c r="M4">
        <v>0.161977282983889</v>
      </c>
      <c r="N4">
        <v>4.8966403935988599E-3</v>
      </c>
      <c r="O4">
        <v>0.18401945711171699</v>
      </c>
      <c r="P4">
        <v>0.02</v>
      </c>
      <c r="Q4">
        <v>1.41</v>
      </c>
      <c r="R4">
        <v>0.3</v>
      </c>
      <c r="S4">
        <v>0.44999999999999901</v>
      </c>
      <c r="T4">
        <v>1.0595429738497899</v>
      </c>
      <c r="U4">
        <v>7.3679325598285201</v>
      </c>
      <c r="V4">
        <v>0.152874670477359</v>
      </c>
      <c r="W4" s="5">
        <v>6.6458811258620102E-4</v>
      </c>
      <c r="X4">
        <v>91.724802286415695</v>
      </c>
      <c r="Y4">
        <v>23.9251720531032</v>
      </c>
      <c r="AK4" s="5"/>
    </row>
    <row r="5" spans="1:37">
      <c r="F5">
        <v>6</v>
      </c>
      <c r="G5">
        <v>0.75</v>
      </c>
      <c r="H5" t="s">
        <v>50</v>
      </c>
      <c r="I5">
        <v>1</v>
      </c>
      <c r="J5">
        <v>0.5</v>
      </c>
      <c r="M5">
        <v>5.0577703956295898E-2</v>
      </c>
      <c r="N5">
        <v>4.3272660390451696E-3</v>
      </c>
      <c r="O5">
        <v>0.470704831742357</v>
      </c>
      <c r="P5">
        <v>0.02</v>
      </c>
      <c r="Q5">
        <v>1.41</v>
      </c>
      <c r="R5">
        <v>0.3</v>
      </c>
      <c r="S5">
        <v>0.44999999999999901</v>
      </c>
      <c r="T5">
        <v>1.0595429738497899</v>
      </c>
      <c r="U5">
        <v>7.3679325598285201</v>
      </c>
      <c r="V5">
        <v>4.7735396491304503E-2</v>
      </c>
      <c r="W5" s="5">
        <v>5.8731075561661698E-4</v>
      </c>
      <c r="X5">
        <v>28.641237894782702</v>
      </c>
      <c r="Y5">
        <v>21.143187202198199</v>
      </c>
      <c r="AK5" s="5"/>
    </row>
    <row r="6" spans="1:37">
      <c r="F6">
        <v>6</v>
      </c>
      <c r="G6">
        <v>0.75</v>
      </c>
      <c r="H6" t="s">
        <v>28</v>
      </c>
      <c r="I6">
        <v>10</v>
      </c>
      <c r="J6">
        <v>0.5</v>
      </c>
      <c r="M6">
        <v>-3.6142302021660798E-3</v>
      </c>
      <c r="N6">
        <v>9.2510151758821001E-3</v>
      </c>
      <c r="O6">
        <v>0.54791470108371298</v>
      </c>
      <c r="P6">
        <v>0.02</v>
      </c>
      <c r="Q6">
        <v>1.41</v>
      </c>
      <c r="R6">
        <v>0.3</v>
      </c>
      <c r="S6">
        <v>0.44999999999999901</v>
      </c>
      <c r="T6">
        <v>1.0595429738497899</v>
      </c>
      <c r="U6">
        <v>7.3679325598285201</v>
      </c>
      <c r="V6">
        <v>-3.41112186231953E-3</v>
      </c>
      <c r="W6">
        <v>1.2555781558480201E-3</v>
      </c>
      <c r="X6">
        <v>-2.0466731173917099</v>
      </c>
      <c r="Y6">
        <v>45.200813610528797</v>
      </c>
    </row>
    <row r="7" spans="1:37">
      <c r="F7">
        <v>6</v>
      </c>
      <c r="G7">
        <v>1.5</v>
      </c>
      <c r="H7" t="s">
        <v>28</v>
      </c>
      <c r="I7">
        <v>42</v>
      </c>
      <c r="J7">
        <v>0.5</v>
      </c>
      <c r="M7">
        <v>0.13473907362492901</v>
      </c>
      <c r="N7">
        <v>5.7151929166835902E-3</v>
      </c>
      <c r="O7">
        <v>0.21806212275804199</v>
      </c>
      <c r="P7">
        <v>0.02</v>
      </c>
      <c r="Q7">
        <v>1.41</v>
      </c>
      <c r="R7">
        <v>0.3</v>
      </c>
      <c r="S7">
        <v>0.44999999999999901</v>
      </c>
      <c r="T7">
        <v>1.0595429738497899</v>
      </c>
      <c r="U7">
        <v>7.3679325598285201</v>
      </c>
      <c r="V7">
        <v>0.12716716258837599</v>
      </c>
      <c r="W7" s="5">
        <v>7.7568474877796705E-4</v>
      </c>
      <c r="X7">
        <v>76.300297553025999</v>
      </c>
      <c r="Y7">
        <v>27.924650956006801</v>
      </c>
      <c r="AK7" s="5"/>
    </row>
    <row r="8" spans="1:37">
      <c r="F8">
        <v>6</v>
      </c>
      <c r="G8">
        <v>1</v>
      </c>
      <c r="H8" t="s">
        <v>28</v>
      </c>
      <c r="I8">
        <v>56</v>
      </c>
      <c r="J8">
        <v>0.5</v>
      </c>
      <c r="M8">
        <v>5.9604878250104402E-2</v>
      </c>
      <c r="N8">
        <v>8.2255303580238207E-3</v>
      </c>
      <c r="O8">
        <v>0.55769642745300396</v>
      </c>
      <c r="P8">
        <v>0.02</v>
      </c>
      <c r="Q8">
        <v>1.41</v>
      </c>
      <c r="R8">
        <v>0.3</v>
      </c>
      <c r="S8">
        <v>0.44999999999999901</v>
      </c>
      <c r="T8">
        <v>1.0595429738497899</v>
      </c>
      <c r="U8">
        <v>7.3679325598285201</v>
      </c>
      <c r="V8">
        <v>5.6255272057095698E-2</v>
      </c>
      <c r="W8">
        <v>1.11639598913691E-3</v>
      </c>
      <c r="X8">
        <v>33.7531632342574</v>
      </c>
      <c r="Y8">
        <v>40.190255608928702</v>
      </c>
    </row>
    <row r="9" spans="1:37">
      <c r="E9">
        <f>E2-E3</f>
        <v>9.8000000000001819</v>
      </c>
      <c r="F9">
        <v>5</v>
      </c>
      <c r="G9">
        <v>1.5</v>
      </c>
      <c r="H9" t="s">
        <v>26</v>
      </c>
      <c r="I9">
        <v>27</v>
      </c>
      <c r="J9">
        <v>1.5</v>
      </c>
      <c r="M9">
        <v>-0.13790250544907401</v>
      </c>
      <c r="N9">
        <v>1.5638311598081701E-2</v>
      </c>
      <c r="O9">
        <v>0.66519973048887404</v>
      </c>
      <c r="P9">
        <v>0.02</v>
      </c>
      <c r="Q9">
        <v>1.41</v>
      </c>
      <c r="R9">
        <v>0.3</v>
      </c>
      <c r="S9">
        <v>0.44999999999999901</v>
      </c>
      <c r="T9">
        <v>1.0595429738497899</v>
      </c>
      <c r="U9">
        <v>7.3679325598285201</v>
      </c>
      <c r="V9">
        <v>-0.130152819519922</v>
      </c>
      <c r="W9">
        <v>2.12248299928055E-3</v>
      </c>
      <c r="X9">
        <v>-78.091691711953601</v>
      </c>
      <c r="Y9">
        <v>76.409387974100099</v>
      </c>
    </row>
    <row r="10" spans="1:37">
      <c r="F10">
        <v>5</v>
      </c>
      <c r="G10">
        <v>0.75</v>
      </c>
      <c r="H10" t="s">
        <v>26</v>
      </c>
      <c r="I10">
        <v>75</v>
      </c>
      <c r="J10">
        <v>2</v>
      </c>
      <c r="M10">
        <v>0.106880169817324</v>
      </c>
      <c r="N10">
        <v>5.26132731149057E-3</v>
      </c>
      <c r="O10">
        <v>0.51445533844657698</v>
      </c>
      <c r="P10">
        <v>0.02</v>
      </c>
      <c r="Q10">
        <v>1.41</v>
      </c>
      <c r="R10">
        <v>0.3</v>
      </c>
      <c r="S10">
        <v>0.44999999999999901</v>
      </c>
      <c r="T10">
        <v>1.0595429738497899</v>
      </c>
      <c r="U10">
        <v>7.3679325598285201</v>
      </c>
      <c r="V10">
        <v>0.100873841321395</v>
      </c>
      <c r="W10" s="5">
        <v>7.1408461855044603E-4</v>
      </c>
      <c r="X10">
        <v>60.524304792837498</v>
      </c>
      <c r="Y10">
        <v>25.707046267816001</v>
      </c>
      <c r="AK10" s="5"/>
    </row>
    <row r="11" spans="1:37">
      <c r="F11">
        <v>5</v>
      </c>
      <c r="G11">
        <v>0.75</v>
      </c>
      <c r="H11" t="s">
        <v>26</v>
      </c>
      <c r="I11">
        <v>35</v>
      </c>
      <c r="J11">
        <v>0.5</v>
      </c>
      <c r="M11">
        <v>8.7482061526212199E-2</v>
      </c>
      <c r="N11">
        <v>6.0062244900015802E-3</v>
      </c>
      <c r="O11">
        <v>0.69975804864131097</v>
      </c>
      <c r="P11">
        <v>0.02</v>
      </c>
      <c r="Q11">
        <v>1.41</v>
      </c>
      <c r="R11">
        <v>0.3</v>
      </c>
      <c r="S11">
        <v>0.44999999999999901</v>
      </c>
      <c r="T11">
        <v>1.0595429738497899</v>
      </c>
      <c r="U11">
        <v>7.3679325598285201</v>
      </c>
      <c r="V11">
        <v>8.2565845544093894E-2</v>
      </c>
      <c r="W11" s="5">
        <v>8.1518450952560904E-4</v>
      </c>
      <c r="X11">
        <v>49.539507326456302</v>
      </c>
      <c r="Y11">
        <v>29.3466423429219</v>
      </c>
      <c r="AK11" s="5"/>
    </row>
    <row r="12" spans="1:37">
      <c r="F12">
        <v>5</v>
      </c>
      <c r="G12">
        <v>1.5</v>
      </c>
      <c r="H12" t="s">
        <v>28</v>
      </c>
      <c r="I12">
        <v>5</v>
      </c>
      <c r="J12">
        <v>3.5</v>
      </c>
    </row>
    <row r="13" spans="1:37">
      <c r="F13">
        <v>4</v>
      </c>
      <c r="G13">
        <v>0.5</v>
      </c>
      <c r="H13" t="s">
        <v>26</v>
      </c>
      <c r="I13">
        <v>36</v>
      </c>
      <c r="J13">
        <v>3</v>
      </c>
    </row>
    <row r="14" spans="1:37">
      <c r="F14">
        <v>4</v>
      </c>
      <c r="G14">
        <v>0.5</v>
      </c>
      <c r="H14" t="s">
        <v>28</v>
      </c>
      <c r="I14">
        <v>56</v>
      </c>
      <c r="J14">
        <v>2</v>
      </c>
    </row>
    <row r="15" spans="1:37">
      <c r="F15">
        <v>5</v>
      </c>
      <c r="G15">
        <v>0.75</v>
      </c>
      <c r="H15" t="s">
        <v>26</v>
      </c>
      <c r="I15">
        <v>7</v>
      </c>
      <c r="J15">
        <v>2</v>
      </c>
    </row>
    <row r="16" spans="1:37">
      <c r="F16">
        <v>6</v>
      </c>
      <c r="G16">
        <v>1</v>
      </c>
      <c r="H16" t="s">
        <v>26</v>
      </c>
      <c r="I16">
        <v>12</v>
      </c>
      <c r="J16">
        <v>1.5</v>
      </c>
    </row>
    <row r="17" spans="6:10">
      <c r="F17">
        <v>5</v>
      </c>
      <c r="G17">
        <v>0.75</v>
      </c>
      <c r="H17" t="s">
        <v>26</v>
      </c>
      <c r="I17">
        <v>20</v>
      </c>
      <c r="J17">
        <v>2.5</v>
      </c>
    </row>
    <row r="18" spans="6:10">
      <c r="F18">
        <v>5</v>
      </c>
      <c r="G18">
        <v>1</v>
      </c>
      <c r="H18" t="s">
        <v>34</v>
      </c>
      <c r="I18">
        <v>24</v>
      </c>
      <c r="J18">
        <v>1</v>
      </c>
    </row>
    <row r="19" spans="6:10">
      <c r="F19">
        <v>6</v>
      </c>
      <c r="G19">
        <v>0.25</v>
      </c>
      <c r="H19" t="s">
        <v>50</v>
      </c>
      <c r="I19">
        <v>1</v>
      </c>
      <c r="J19">
        <v>1</v>
      </c>
    </row>
    <row r="20" spans="6:10">
      <c r="G20">
        <v>1</v>
      </c>
      <c r="H20" t="s">
        <v>28</v>
      </c>
      <c r="I20">
        <v>2</v>
      </c>
      <c r="J20">
        <v>3</v>
      </c>
    </row>
    <row r="21" spans="6:10">
      <c r="G21">
        <v>0.25</v>
      </c>
      <c r="H21" t="s">
        <v>26</v>
      </c>
      <c r="I21">
        <v>32</v>
      </c>
      <c r="J21">
        <v>1.5</v>
      </c>
    </row>
    <row r="22" spans="6:10">
      <c r="G22">
        <v>1.5</v>
      </c>
      <c r="H22" t="s">
        <v>28</v>
      </c>
      <c r="I22">
        <v>1</v>
      </c>
      <c r="J22">
        <v>2</v>
      </c>
    </row>
    <row r="23" spans="6:10">
      <c r="G23">
        <v>1</v>
      </c>
      <c r="H23" t="s">
        <v>31</v>
      </c>
      <c r="I23">
        <v>10</v>
      </c>
      <c r="J23">
        <v>1</v>
      </c>
    </row>
    <row r="24" spans="6:10">
      <c r="G24">
        <v>1</v>
      </c>
      <c r="H24" t="s">
        <v>50</v>
      </c>
      <c r="I24">
        <v>1</v>
      </c>
      <c r="J24">
        <v>1</v>
      </c>
    </row>
    <row r="25" spans="6:10">
      <c r="G25">
        <v>0.5</v>
      </c>
      <c r="H25" t="s">
        <v>26</v>
      </c>
      <c r="I25">
        <v>12</v>
      </c>
      <c r="J25">
        <v>2</v>
      </c>
    </row>
    <row r="26" spans="6:10">
      <c r="G26">
        <v>1</v>
      </c>
      <c r="H26" t="s">
        <v>28</v>
      </c>
      <c r="I26">
        <v>3</v>
      </c>
      <c r="J26">
        <v>1.5</v>
      </c>
    </row>
    <row r="27" spans="6:10">
      <c r="G27">
        <v>0.75</v>
      </c>
      <c r="H27" t="s">
        <v>50</v>
      </c>
      <c r="I27">
        <v>1</v>
      </c>
      <c r="J27">
        <v>0.5</v>
      </c>
    </row>
    <row r="28" spans="6:10">
      <c r="G28">
        <v>0.25</v>
      </c>
      <c r="H28" t="s">
        <v>31</v>
      </c>
      <c r="I28">
        <v>8</v>
      </c>
      <c r="J28">
        <v>2</v>
      </c>
    </row>
    <row r="29" spans="6:10">
      <c r="G29">
        <v>0.75</v>
      </c>
      <c r="H29" t="s">
        <v>28</v>
      </c>
      <c r="I29">
        <v>8</v>
      </c>
      <c r="J29">
        <v>0.5</v>
      </c>
    </row>
    <row r="30" spans="6:10">
      <c r="G30">
        <v>0.75</v>
      </c>
      <c r="H30" t="s">
        <v>28</v>
      </c>
      <c r="I30">
        <v>3</v>
      </c>
      <c r="J30">
        <v>0.5</v>
      </c>
    </row>
    <row r="31" spans="6:10">
      <c r="G31">
        <v>0.75</v>
      </c>
      <c r="H31" t="s">
        <v>50</v>
      </c>
      <c r="I31">
        <v>1</v>
      </c>
      <c r="J31">
        <v>1</v>
      </c>
    </row>
    <row r="32" spans="6:10">
      <c r="G32">
        <v>1</v>
      </c>
      <c r="J3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6FDC-110A-4BA3-88BB-EBF095B357C1}">
  <dimension ref="A1:AK31"/>
  <sheetViews>
    <sheetView workbookViewId="0">
      <selection activeCell="E9" sqref="E9"/>
    </sheetView>
  </sheetViews>
  <sheetFormatPr defaultRowHeight="15"/>
  <cols>
    <col min="3" max="3" width="17.5703125" customWidth="1"/>
    <col min="4" max="4" width="19.85546875" customWidth="1"/>
    <col min="12" max="12" width="31.14062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7">
      <c r="A2" t="s">
        <v>51</v>
      </c>
      <c r="B2" s="2">
        <v>45904</v>
      </c>
      <c r="C2">
        <v>42.575837999999997</v>
      </c>
      <c r="D2">
        <v>74.661580999999998</v>
      </c>
      <c r="E2">
        <v>1972</v>
      </c>
      <c r="F2">
        <v>4</v>
      </c>
      <c r="G2">
        <v>0</v>
      </c>
      <c r="H2" t="s">
        <v>43</v>
      </c>
      <c r="I2">
        <v>5</v>
      </c>
      <c r="J2">
        <v>0</v>
      </c>
      <c r="K2">
        <v>7</v>
      </c>
      <c r="L2" t="s">
        <v>52</v>
      </c>
      <c r="M2">
        <v>-1.49472701954174E-2</v>
      </c>
      <c r="N2">
        <v>7.6416453199890204E-3</v>
      </c>
      <c r="O2">
        <v>0.30498501540984602</v>
      </c>
      <c r="P2">
        <v>1.9E-2</v>
      </c>
      <c r="Q2">
        <v>1.31</v>
      </c>
      <c r="R2">
        <v>8.5999999999999993E-2</v>
      </c>
      <c r="S2">
        <v>0.3</v>
      </c>
      <c r="T2">
        <v>1.17186539373069</v>
      </c>
      <c r="U2">
        <v>6.1090198565416003</v>
      </c>
      <c r="V2">
        <v>-1.2755108458175299E-2</v>
      </c>
      <c r="W2">
        <v>1.25087910981436E-3</v>
      </c>
      <c r="X2">
        <v>-7.6530650749051903</v>
      </c>
      <c r="Y2">
        <v>45.031647953316998</v>
      </c>
    </row>
    <row r="3" spans="1:37">
      <c r="C3">
        <v>42.575899</v>
      </c>
      <c r="D3">
        <v>74.661460000000005</v>
      </c>
      <c r="E3">
        <v>1965.8</v>
      </c>
      <c r="F3">
        <v>4</v>
      </c>
      <c r="G3">
        <v>0</v>
      </c>
      <c r="H3" t="s">
        <v>43</v>
      </c>
      <c r="I3">
        <v>5</v>
      </c>
      <c r="J3">
        <v>0</v>
      </c>
      <c r="M3">
        <v>1.12265165310464E-2</v>
      </c>
      <c r="N3" s="5">
        <v>8.1979739456899698E-4</v>
      </c>
      <c r="O3">
        <v>0.51894361657519195</v>
      </c>
      <c r="P3">
        <v>1.9E-2</v>
      </c>
      <c r="Q3">
        <v>1.31</v>
      </c>
      <c r="R3">
        <v>8.5999999999999993E-2</v>
      </c>
      <c r="S3">
        <v>0.3</v>
      </c>
      <c r="T3">
        <v>1.17186539373069</v>
      </c>
      <c r="U3">
        <v>6.1090198565416003</v>
      </c>
      <c r="V3">
        <v>9.5800393040929108E-3</v>
      </c>
      <c r="W3" s="5">
        <v>1.3419458666371001E-4</v>
      </c>
      <c r="X3">
        <v>5.7480235824557404</v>
      </c>
      <c r="Y3">
        <v>4.8310051198935602</v>
      </c>
      <c r="AB3" s="5"/>
      <c r="AK3" s="5"/>
    </row>
    <row r="4" spans="1:37">
      <c r="F4">
        <v>4</v>
      </c>
      <c r="G4">
        <v>0</v>
      </c>
      <c r="H4" t="s">
        <v>43</v>
      </c>
      <c r="I4">
        <v>3</v>
      </c>
      <c r="J4">
        <v>0</v>
      </c>
      <c r="M4">
        <v>3.1087342784965201E-2</v>
      </c>
      <c r="N4">
        <v>3.0826024835597298E-3</v>
      </c>
      <c r="O4">
        <v>0.58523415929824296</v>
      </c>
      <c r="P4">
        <v>1.9E-2</v>
      </c>
      <c r="Q4">
        <v>1.31</v>
      </c>
      <c r="R4">
        <v>8.5999999999999993E-2</v>
      </c>
      <c r="S4">
        <v>0.3</v>
      </c>
      <c r="T4">
        <v>1.17186539373069</v>
      </c>
      <c r="U4">
        <v>6.1090198565416003</v>
      </c>
      <c r="V4">
        <v>2.6528083303148799E-2</v>
      </c>
      <c r="W4" s="5">
        <v>5.0459853723651795E-4</v>
      </c>
      <c r="X4">
        <v>15.9168499818893</v>
      </c>
      <c r="Y4">
        <v>18.1655473405146</v>
      </c>
      <c r="AK4" s="5"/>
    </row>
    <row r="5" spans="1:37">
      <c r="F5">
        <v>3</v>
      </c>
      <c r="G5">
        <v>0</v>
      </c>
      <c r="H5" t="s">
        <v>26</v>
      </c>
      <c r="I5">
        <v>5</v>
      </c>
      <c r="J5">
        <v>0.5</v>
      </c>
      <c r="M5">
        <v>2.72357681846364E-2</v>
      </c>
      <c r="N5">
        <v>1.51020870581896E-3</v>
      </c>
      <c r="O5">
        <v>0.22581101439131199</v>
      </c>
      <c r="P5">
        <v>1.9E-2</v>
      </c>
      <c r="Q5">
        <v>1.31</v>
      </c>
      <c r="R5">
        <v>8.5999999999999993E-2</v>
      </c>
      <c r="S5">
        <v>0.3</v>
      </c>
      <c r="T5">
        <v>1.17186539373069</v>
      </c>
      <c r="U5">
        <v>6.1090198565416003</v>
      </c>
      <c r="V5">
        <v>2.3241379368606301E-2</v>
      </c>
      <c r="W5" s="5">
        <v>2.4720965740548598E-4</v>
      </c>
      <c r="X5">
        <v>13.9448276211638</v>
      </c>
      <c r="Y5">
        <v>8.8995476665974902</v>
      </c>
      <c r="AK5" s="5"/>
    </row>
    <row r="6" spans="1:37">
      <c r="F6">
        <v>1</v>
      </c>
      <c r="G6">
        <v>0</v>
      </c>
      <c r="H6" t="s">
        <v>43</v>
      </c>
      <c r="I6">
        <v>5</v>
      </c>
      <c r="J6">
        <v>0</v>
      </c>
      <c r="M6">
        <v>-6.6841007784020995E-2</v>
      </c>
      <c r="N6">
        <v>8.9724599948180495E-3</v>
      </c>
      <c r="O6">
        <v>0.57381492218488195</v>
      </c>
      <c r="P6">
        <v>1.9E-2</v>
      </c>
      <c r="Q6">
        <v>1.31</v>
      </c>
      <c r="R6">
        <v>8.5999999999999993E-2</v>
      </c>
      <c r="S6">
        <v>0.3</v>
      </c>
      <c r="T6">
        <v>1.17186539373069</v>
      </c>
      <c r="U6">
        <v>6.1090198565416003</v>
      </c>
      <c r="V6">
        <v>-5.7038127537181502E-2</v>
      </c>
      <c r="W6">
        <v>1.46872333132298E-3</v>
      </c>
      <c r="X6">
        <v>-34.222876522308901</v>
      </c>
      <c r="Y6">
        <v>52.8740399276275</v>
      </c>
    </row>
    <row r="7" spans="1:37">
      <c r="F7">
        <v>1</v>
      </c>
      <c r="G7">
        <v>0</v>
      </c>
      <c r="H7" t="s">
        <v>43</v>
      </c>
      <c r="I7">
        <v>5</v>
      </c>
      <c r="J7">
        <v>0</v>
      </c>
      <c r="M7">
        <v>1.5344219173418E-2</v>
      </c>
      <c r="N7">
        <v>2.6091589240678399E-3</v>
      </c>
      <c r="O7">
        <v>7.9686620888919799E-2</v>
      </c>
      <c r="P7">
        <v>1.9E-2</v>
      </c>
      <c r="Q7">
        <v>1.31</v>
      </c>
      <c r="R7">
        <v>8.5999999999999993E-2</v>
      </c>
      <c r="S7">
        <v>0.3</v>
      </c>
      <c r="T7">
        <v>1.17186539373069</v>
      </c>
      <c r="U7">
        <v>6.1090198565416003</v>
      </c>
      <c r="V7">
        <v>1.30938410294452E-2</v>
      </c>
      <c r="W7" s="5">
        <v>4.2709943417092102E-4</v>
      </c>
      <c r="X7">
        <v>7.85630461766715</v>
      </c>
      <c r="Y7">
        <v>15.3755796301531</v>
      </c>
      <c r="AK7" s="5"/>
    </row>
    <row r="8" spans="1:37">
      <c r="F8">
        <v>1</v>
      </c>
      <c r="G8">
        <v>0.25</v>
      </c>
      <c r="H8" t="s">
        <v>43</v>
      </c>
      <c r="I8">
        <v>5</v>
      </c>
      <c r="J8">
        <v>0</v>
      </c>
      <c r="M8">
        <v>3.1296149852808597E-2</v>
      </c>
      <c r="N8" s="5">
        <v>9.7793917879413498E-5</v>
      </c>
      <c r="O8">
        <v>1.3266562719118199E-3</v>
      </c>
      <c r="P8">
        <v>1.9E-2</v>
      </c>
      <c r="Q8">
        <v>1.31</v>
      </c>
      <c r="R8">
        <v>8.5999999999999993E-2</v>
      </c>
      <c r="S8">
        <v>0.3</v>
      </c>
      <c r="T8">
        <v>1.17186539373069</v>
      </c>
      <c r="U8">
        <v>6.1090198565416003</v>
      </c>
      <c r="V8">
        <v>2.6706266795007601E-2</v>
      </c>
      <c r="W8" s="5">
        <v>1.60081191706546E-5</v>
      </c>
      <c r="X8">
        <v>16.0237600770045</v>
      </c>
      <c r="Y8">
        <v>0.57629229014356698</v>
      </c>
      <c r="AB8" s="5"/>
      <c r="AK8" s="5"/>
    </row>
    <row r="9" spans="1:37">
      <c r="E9">
        <f>E2-E3</f>
        <v>6.2000000000000455</v>
      </c>
      <c r="F9">
        <v>4</v>
      </c>
      <c r="G9">
        <v>0.25</v>
      </c>
      <c r="H9" t="s">
        <v>43</v>
      </c>
      <c r="I9">
        <v>3</v>
      </c>
      <c r="J9">
        <v>0</v>
      </c>
      <c r="M9">
        <v>0.123627182272305</v>
      </c>
      <c r="N9" s="5">
        <v>-6.3872065128141601E-4</v>
      </c>
      <c r="O9" s="5">
        <v>1.22163493760898E-4</v>
      </c>
      <c r="P9">
        <v>1.9E-2</v>
      </c>
      <c r="Q9">
        <v>1.31</v>
      </c>
      <c r="R9">
        <v>8.5999999999999993E-2</v>
      </c>
      <c r="S9">
        <v>0.3</v>
      </c>
      <c r="T9">
        <v>1.17186539373069</v>
      </c>
      <c r="U9">
        <v>6.1090198565416003</v>
      </c>
      <c r="V9">
        <v>0.105496060327143</v>
      </c>
      <c r="W9" s="5">
        <v>-1.0455370358593E-4</v>
      </c>
      <c r="X9">
        <v>63.2976361962859</v>
      </c>
      <c r="Y9">
        <v>-3.76393332909351</v>
      </c>
      <c r="AB9" s="5"/>
      <c r="AC9" s="5"/>
      <c r="AK9" s="5"/>
    </row>
    <row r="10" spans="1:37">
      <c r="F10">
        <v>1</v>
      </c>
      <c r="G10">
        <v>0.25</v>
      </c>
      <c r="H10" t="s">
        <v>43</v>
      </c>
      <c r="I10">
        <v>3</v>
      </c>
      <c r="J10">
        <v>0</v>
      </c>
      <c r="M10">
        <v>3.8994309348994102E-2</v>
      </c>
      <c r="N10">
        <v>2.1920727032789401E-3</v>
      </c>
      <c r="O10">
        <v>0.1005046250192</v>
      </c>
      <c r="P10">
        <v>1.9E-2</v>
      </c>
      <c r="Q10">
        <v>1.31</v>
      </c>
      <c r="R10">
        <v>8.5999999999999993E-2</v>
      </c>
      <c r="S10">
        <v>0.3</v>
      </c>
      <c r="T10">
        <v>1.17186539373069</v>
      </c>
      <c r="U10">
        <v>6.1090198565416003</v>
      </c>
      <c r="V10">
        <v>3.3275416748039202E-2</v>
      </c>
      <c r="W10" s="5">
        <v>3.5882559801007099E-4</v>
      </c>
      <c r="X10">
        <v>19.965250048823499</v>
      </c>
      <c r="Y10">
        <v>12.917721528362501</v>
      </c>
      <c r="AK10" s="5"/>
    </row>
    <row r="11" spans="1:37">
      <c r="F11">
        <v>1</v>
      </c>
      <c r="G11">
        <v>0.25</v>
      </c>
      <c r="H11" t="s">
        <v>43</v>
      </c>
      <c r="I11">
        <v>9</v>
      </c>
      <c r="J11">
        <v>0</v>
      </c>
      <c r="M11">
        <v>1.1809354803456599E-2</v>
      </c>
      <c r="N11">
        <v>1.57712382357698E-3</v>
      </c>
      <c r="O11">
        <v>0.463335588794141</v>
      </c>
      <c r="P11">
        <v>1.9E-2</v>
      </c>
      <c r="Q11">
        <v>1.31</v>
      </c>
      <c r="R11">
        <v>8.5999999999999993E-2</v>
      </c>
      <c r="S11">
        <v>0.3</v>
      </c>
      <c r="T11">
        <v>1.17186539373069</v>
      </c>
      <c r="U11">
        <v>6.1090198565416003</v>
      </c>
      <c r="V11">
        <v>1.00773987069119E-2</v>
      </c>
      <c r="W11" s="5">
        <v>2.5816315229163698E-4</v>
      </c>
      <c r="X11">
        <v>6.04643922414719</v>
      </c>
      <c r="Y11">
        <v>9.29387348249894</v>
      </c>
      <c r="AK11" s="5"/>
    </row>
    <row r="12" spans="1:37">
      <c r="F12">
        <v>3</v>
      </c>
      <c r="G12">
        <v>0</v>
      </c>
      <c r="H12" t="s">
        <v>43</v>
      </c>
      <c r="I12">
        <v>3</v>
      </c>
      <c r="J12">
        <v>0</v>
      </c>
    </row>
    <row r="13" spans="1:37">
      <c r="F13">
        <v>1</v>
      </c>
      <c r="G13">
        <v>0</v>
      </c>
      <c r="H13" t="s">
        <v>43</v>
      </c>
      <c r="I13">
        <v>4</v>
      </c>
      <c r="J13">
        <v>0</v>
      </c>
    </row>
    <row r="14" spans="1:37">
      <c r="F14">
        <v>1</v>
      </c>
      <c r="G14">
        <v>0</v>
      </c>
      <c r="H14" t="s">
        <v>43</v>
      </c>
      <c r="I14">
        <v>0</v>
      </c>
      <c r="J14">
        <v>0</v>
      </c>
    </row>
    <row r="15" spans="1:37">
      <c r="F15">
        <v>1</v>
      </c>
      <c r="G15">
        <v>0</v>
      </c>
      <c r="H15" t="s">
        <v>26</v>
      </c>
      <c r="I15">
        <v>0</v>
      </c>
      <c r="J15">
        <v>0.5</v>
      </c>
    </row>
    <row r="16" spans="1:37">
      <c r="F16">
        <v>1</v>
      </c>
      <c r="G16">
        <v>0</v>
      </c>
      <c r="H16" t="s">
        <v>43</v>
      </c>
      <c r="I16">
        <v>0</v>
      </c>
      <c r="J16">
        <v>0</v>
      </c>
    </row>
    <row r="17" spans="6:10">
      <c r="F17">
        <v>3</v>
      </c>
      <c r="G17">
        <v>0</v>
      </c>
      <c r="H17" t="s">
        <v>26</v>
      </c>
      <c r="I17">
        <v>0</v>
      </c>
      <c r="J17">
        <v>0.5</v>
      </c>
    </row>
    <row r="18" spans="6:10">
      <c r="F18">
        <v>1</v>
      </c>
      <c r="G18">
        <v>0.25</v>
      </c>
      <c r="H18" t="s">
        <v>26</v>
      </c>
      <c r="I18">
        <v>0</v>
      </c>
      <c r="J18">
        <v>0.5</v>
      </c>
    </row>
    <row r="19" spans="6:10">
      <c r="F19">
        <v>1</v>
      </c>
      <c r="G19">
        <v>0</v>
      </c>
      <c r="H19" t="s">
        <v>26</v>
      </c>
      <c r="I19">
        <v>0</v>
      </c>
      <c r="J19">
        <v>0.5</v>
      </c>
    </row>
    <row r="20" spans="6:10">
      <c r="G20">
        <v>0</v>
      </c>
      <c r="H20" t="s">
        <v>26</v>
      </c>
      <c r="I20">
        <v>0</v>
      </c>
      <c r="J20">
        <v>0.5</v>
      </c>
    </row>
    <row r="21" spans="6:10">
      <c r="G21">
        <v>0</v>
      </c>
      <c r="H21" t="s">
        <v>26</v>
      </c>
      <c r="I21">
        <v>0</v>
      </c>
      <c r="J21">
        <v>0.5</v>
      </c>
    </row>
    <row r="22" spans="6:10">
      <c r="G22">
        <v>0</v>
      </c>
      <c r="H22" t="s">
        <v>26</v>
      </c>
      <c r="I22">
        <v>0</v>
      </c>
      <c r="J22">
        <v>0.5</v>
      </c>
    </row>
    <row r="23" spans="6:10">
      <c r="G23">
        <v>0</v>
      </c>
      <c r="H23" t="s">
        <v>43</v>
      </c>
      <c r="I23">
        <v>0</v>
      </c>
      <c r="J23">
        <v>0</v>
      </c>
    </row>
    <row r="24" spans="6:10">
      <c r="G24">
        <v>0</v>
      </c>
      <c r="H24" t="s">
        <v>43</v>
      </c>
      <c r="I24">
        <v>0</v>
      </c>
      <c r="J24">
        <v>0</v>
      </c>
    </row>
    <row r="25" spans="6:10">
      <c r="G25">
        <v>0</v>
      </c>
      <c r="H25" t="s">
        <v>43</v>
      </c>
      <c r="I25">
        <v>0</v>
      </c>
      <c r="J25">
        <v>0</v>
      </c>
    </row>
    <row r="26" spans="6:10">
      <c r="G26">
        <v>0</v>
      </c>
      <c r="H26" t="s">
        <v>43</v>
      </c>
      <c r="I26">
        <v>0</v>
      </c>
      <c r="J26">
        <v>0</v>
      </c>
    </row>
    <row r="27" spans="6:10">
      <c r="G27">
        <v>0</v>
      </c>
      <c r="H27" t="s">
        <v>43</v>
      </c>
      <c r="I27">
        <v>0</v>
      </c>
      <c r="J27">
        <v>0</v>
      </c>
    </row>
    <row r="28" spans="6:10">
      <c r="G28">
        <v>0</v>
      </c>
      <c r="H28" t="s">
        <v>43</v>
      </c>
      <c r="I28">
        <v>0</v>
      </c>
      <c r="J28">
        <v>0</v>
      </c>
    </row>
    <row r="29" spans="6:10">
      <c r="G29">
        <v>0</v>
      </c>
      <c r="H29" t="s">
        <v>43</v>
      </c>
      <c r="I29">
        <v>0</v>
      </c>
      <c r="J29">
        <v>0</v>
      </c>
    </row>
    <row r="30" spans="6:10">
      <c r="G30">
        <v>0</v>
      </c>
      <c r="H30" t="s">
        <v>43</v>
      </c>
      <c r="I30">
        <v>0</v>
      </c>
      <c r="J30">
        <v>0</v>
      </c>
    </row>
    <row r="31" spans="6:10">
      <c r="G31">
        <v>0</v>
      </c>
      <c r="H31" t="s">
        <v>43</v>
      </c>
      <c r="I31">
        <v>0</v>
      </c>
      <c r="J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9FC9-9411-41D9-92CA-E8F639EE8588}">
  <dimension ref="A1:AK32"/>
  <sheetViews>
    <sheetView workbookViewId="0">
      <selection activeCell="E9" sqref="E9"/>
    </sheetView>
  </sheetViews>
  <sheetFormatPr defaultRowHeight="15"/>
  <cols>
    <col min="3" max="4" width="10.140625" bestFit="1" customWidth="1"/>
    <col min="11" max="11" width="15.140625" customWidth="1"/>
    <col min="12" max="12" width="31.28515625" customWidth="1"/>
    <col min="22" max="22" width="12.8554687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7">
      <c r="B2" s="2">
        <v>45904</v>
      </c>
      <c r="C2">
        <v>42.576568999999999</v>
      </c>
      <c r="D2">
        <v>74.660633000000004</v>
      </c>
      <c r="E2">
        <v>1952.1</v>
      </c>
      <c r="F2">
        <v>4</v>
      </c>
      <c r="G2">
        <v>0.75</v>
      </c>
      <c r="H2" t="s">
        <v>26</v>
      </c>
      <c r="I2">
        <v>5</v>
      </c>
      <c r="J2">
        <v>0</v>
      </c>
      <c r="K2">
        <v>39</v>
      </c>
      <c r="L2" t="s">
        <v>53</v>
      </c>
      <c r="M2">
        <v>-2.31410542926524E-2</v>
      </c>
      <c r="N2">
        <v>1.0147755879167299E-2</v>
      </c>
      <c r="O2">
        <v>0.46113047840578902</v>
      </c>
      <c r="P2">
        <v>3.5999999999999997E-2</v>
      </c>
      <c r="Q2">
        <v>1.56</v>
      </c>
      <c r="R2">
        <v>8.4000000000000005E-2</v>
      </c>
      <c r="S2">
        <v>0.3</v>
      </c>
      <c r="T2">
        <v>1.0705263432071399</v>
      </c>
      <c r="U2">
        <v>5.7176568393371001</v>
      </c>
      <c r="V2">
        <v>-2.1616520172054E-2</v>
      </c>
      <c r="W2">
        <v>1.7748102350864099E-3</v>
      </c>
      <c r="X2">
        <v>-12.969912103232399</v>
      </c>
      <c r="Y2">
        <v>63.893168463111103</v>
      </c>
    </row>
    <row r="3" spans="1:37">
      <c r="C3">
        <v>42.576452000000003</v>
      </c>
      <c r="D3">
        <v>74.660289000000006</v>
      </c>
      <c r="E3">
        <v>1947.6</v>
      </c>
      <c r="F3">
        <v>4</v>
      </c>
      <c r="G3">
        <v>1.25</v>
      </c>
      <c r="H3" t="s">
        <v>26</v>
      </c>
      <c r="I3">
        <v>3</v>
      </c>
      <c r="J3">
        <v>0</v>
      </c>
      <c r="M3">
        <v>-3.2494820299872697E-2</v>
      </c>
      <c r="N3">
        <v>1.0559793477095E-2</v>
      </c>
      <c r="O3">
        <v>7.1271572819358295E-2</v>
      </c>
      <c r="P3">
        <v>3.5999999999999997E-2</v>
      </c>
      <c r="Q3">
        <v>1.56</v>
      </c>
      <c r="R3">
        <v>8.4000000000000005E-2</v>
      </c>
      <c r="S3">
        <v>0.3</v>
      </c>
      <c r="T3">
        <v>1.0705263432071399</v>
      </c>
      <c r="U3">
        <v>5.7176568393371001</v>
      </c>
      <c r="V3">
        <v>-3.03540594830417E-2</v>
      </c>
      <c r="W3">
        <v>1.84687430075277E-3</v>
      </c>
      <c r="X3">
        <v>-18.212435689825</v>
      </c>
      <c r="Y3">
        <v>66.487474827099803</v>
      </c>
    </row>
    <row r="4" spans="1:37">
      <c r="F4">
        <v>4</v>
      </c>
      <c r="G4">
        <v>1.5</v>
      </c>
      <c r="H4" t="s">
        <v>26</v>
      </c>
      <c r="I4">
        <v>3</v>
      </c>
      <c r="J4">
        <v>0</v>
      </c>
      <c r="M4">
        <v>-3.8820356850625001E-2</v>
      </c>
      <c r="N4">
        <v>9.0676125936599294E-3</v>
      </c>
      <c r="O4">
        <v>0.104067123021021</v>
      </c>
      <c r="P4">
        <v>3.5999999999999997E-2</v>
      </c>
      <c r="Q4">
        <v>1.56</v>
      </c>
      <c r="R4">
        <v>8.4000000000000005E-2</v>
      </c>
      <c r="S4">
        <v>0.3</v>
      </c>
      <c r="T4">
        <v>1.0705263432071399</v>
      </c>
      <c r="U4">
        <v>5.7176568393371001</v>
      </c>
      <c r="V4">
        <v>-3.6262869285705601E-2</v>
      </c>
      <c r="W4">
        <v>1.58589660912759E-3</v>
      </c>
      <c r="X4">
        <v>-21.7577215714233</v>
      </c>
      <c r="Y4">
        <v>57.092277928593496</v>
      </c>
    </row>
    <row r="5" spans="1:37">
      <c r="F5">
        <v>4</v>
      </c>
      <c r="G5">
        <v>1</v>
      </c>
      <c r="H5" t="s">
        <v>26</v>
      </c>
      <c r="I5">
        <v>2</v>
      </c>
      <c r="J5">
        <v>0</v>
      </c>
      <c r="M5">
        <v>-5.9518580820497997E-2</v>
      </c>
      <c r="N5">
        <v>1.2470465186917801E-2</v>
      </c>
      <c r="O5">
        <v>0.30059433695020699</v>
      </c>
      <c r="P5">
        <v>3.5999999999999997E-2</v>
      </c>
      <c r="Q5">
        <v>1.56</v>
      </c>
      <c r="R5">
        <v>8.4000000000000005E-2</v>
      </c>
      <c r="S5">
        <v>0.3</v>
      </c>
      <c r="T5">
        <v>1.0705263432071399</v>
      </c>
      <c r="U5">
        <v>5.7176568393371001</v>
      </c>
      <c r="V5">
        <v>-5.5597492951167303E-2</v>
      </c>
      <c r="W5">
        <v>2.1810447071817598E-3</v>
      </c>
      <c r="X5">
        <v>-33.358495770700401</v>
      </c>
      <c r="Y5">
        <v>78.517609458543603</v>
      </c>
    </row>
    <row r="6" spans="1:37">
      <c r="F6">
        <v>3</v>
      </c>
      <c r="G6">
        <v>2.5</v>
      </c>
      <c r="H6" t="s">
        <v>26</v>
      </c>
      <c r="I6">
        <v>3</v>
      </c>
      <c r="J6">
        <v>0</v>
      </c>
      <c r="M6">
        <v>-0.15837079783225499</v>
      </c>
      <c r="N6">
        <v>1.1114162766981101E-2</v>
      </c>
      <c r="O6">
        <v>0.239926036280107</v>
      </c>
      <c r="P6">
        <v>3.5999999999999997E-2</v>
      </c>
      <c r="Q6">
        <v>1.56</v>
      </c>
      <c r="R6">
        <v>8.4000000000000005E-2</v>
      </c>
      <c r="S6">
        <v>0.3</v>
      </c>
      <c r="T6">
        <v>1.0705263432071399</v>
      </c>
      <c r="U6">
        <v>5.7176568393371001</v>
      </c>
      <c r="V6">
        <v>-0.147937319653246</v>
      </c>
      <c r="W6">
        <v>1.9438317267514999E-3</v>
      </c>
      <c r="X6">
        <v>-88.762391791947493</v>
      </c>
      <c r="Y6">
        <v>69.977942163053996</v>
      </c>
    </row>
    <row r="7" spans="1:37">
      <c r="F7">
        <v>5</v>
      </c>
      <c r="G7">
        <v>1.5</v>
      </c>
      <c r="H7" t="s">
        <v>26</v>
      </c>
      <c r="I7">
        <v>3</v>
      </c>
      <c r="J7">
        <v>0</v>
      </c>
      <c r="M7">
        <v>-7.6221700304326999E-3</v>
      </c>
      <c r="N7">
        <v>2.23146843141534E-3</v>
      </c>
      <c r="O7">
        <v>0.63275855809092496</v>
      </c>
      <c r="P7">
        <v>3.5999999999999997E-2</v>
      </c>
      <c r="Q7">
        <v>1.56</v>
      </c>
      <c r="R7">
        <v>8.4000000000000005E-2</v>
      </c>
      <c r="S7">
        <v>0.3</v>
      </c>
      <c r="T7">
        <v>1.0705263432071399</v>
      </c>
      <c r="U7">
        <v>5.7176568393371001</v>
      </c>
      <c r="V7">
        <v>-7.1200209866837802E-3</v>
      </c>
      <c r="W7" s="5">
        <v>3.9027673295518402E-4</v>
      </c>
      <c r="X7">
        <v>-4.2720125920102703</v>
      </c>
      <c r="Y7">
        <v>14.0499623863866</v>
      </c>
      <c r="AK7" s="5"/>
    </row>
    <row r="8" spans="1:37">
      <c r="F8">
        <v>4</v>
      </c>
      <c r="G8">
        <v>2.5</v>
      </c>
      <c r="H8" t="s">
        <v>26</v>
      </c>
      <c r="I8">
        <v>2</v>
      </c>
      <c r="J8">
        <v>0</v>
      </c>
      <c r="M8">
        <v>-8.5695812632331104E-3</v>
      </c>
      <c r="N8">
        <v>4.6578236209970604E-3</v>
      </c>
      <c r="O8">
        <v>0.54993003508620597</v>
      </c>
      <c r="P8">
        <v>3.5999999999999997E-2</v>
      </c>
      <c r="Q8">
        <v>1.56</v>
      </c>
      <c r="R8">
        <v>8.4000000000000005E-2</v>
      </c>
      <c r="S8">
        <v>0.3</v>
      </c>
      <c r="T8">
        <v>1.0705263432071399</v>
      </c>
      <c r="U8">
        <v>5.7176568393371001</v>
      </c>
      <c r="V8">
        <v>-8.0050167075383493E-3</v>
      </c>
      <c r="W8" s="5">
        <v>8.1463854020611E-4</v>
      </c>
      <c r="X8">
        <v>-4.8030100245230098</v>
      </c>
      <c r="Y8">
        <v>29.326987447419899</v>
      </c>
      <c r="AK8" s="5"/>
    </row>
    <row r="9" spans="1:37">
      <c r="E9">
        <f>E2-E3</f>
        <v>4.5</v>
      </c>
      <c r="F9">
        <v>4</v>
      </c>
      <c r="G9">
        <v>1.75</v>
      </c>
      <c r="H9" t="s">
        <v>28</v>
      </c>
      <c r="I9">
        <v>2</v>
      </c>
      <c r="J9">
        <v>0</v>
      </c>
      <c r="M9">
        <v>-4.8480549874090704E-3</v>
      </c>
      <c r="N9">
        <v>1.2580146713152E-2</v>
      </c>
      <c r="O9">
        <v>0.201321229124479</v>
      </c>
      <c r="P9">
        <v>3.5999999999999997E-2</v>
      </c>
      <c r="Q9">
        <v>1.56</v>
      </c>
      <c r="R9">
        <v>8.4000000000000005E-2</v>
      </c>
      <c r="S9">
        <v>0.3</v>
      </c>
      <c r="T9">
        <v>1.0705263432071399</v>
      </c>
      <c r="U9">
        <v>5.7176568393371001</v>
      </c>
      <c r="V9">
        <v>-4.5286648181725297E-3</v>
      </c>
      <c r="W9">
        <v>2.2002276573510702E-3</v>
      </c>
      <c r="X9">
        <v>-2.7171988909035201</v>
      </c>
      <c r="Y9">
        <v>79.208195664638794</v>
      </c>
    </row>
    <row r="10" spans="1:37">
      <c r="F10">
        <v>4</v>
      </c>
      <c r="G10">
        <v>1.5</v>
      </c>
      <c r="H10" t="s">
        <v>30</v>
      </c>
      <c r="I10">
        <v>0</v>
      </c>
      <c r="J10">
        <v>0</v>
      </c>
      <c r="M10">
        <v>1.1714892336700501E-3</v>
      </c>
      <c r="N10">
        <v>3.27678669913868E-3</v>
      </c>
      <c r="O10">
        <v>0.179510455640087</v>
      </c>
      <c r="P10">
        <v>3.5999999999999997E-2</v>
      </c>
      <c r="Q10">
        <v>1.56</v>
      </c>
      <c r="R10">
        <v>8.4000000000000005E-2</v>
      </c>
      <c r="S10">
        <v>0.3</v>
      </c>
      <c r="T10">
        <v>1.0705263432071399</v>
      </c>
      <c r="U10">
        <v>5.7176568393371001</v>
      </c>
      <c r="V10">
        <v>1.09431144885276E-3</v>
      </c>
      <c r="W10" s="5">
        <v>5.7309957404134602E-4</v>
      </c>
      <c r="X10">
        <v>0.656586869311657</v>
      </c>
      <c r="Y10">
        <v>20.631584665488401</v>
      </c>
      <c r="AK10" s="5"/>
    </row>
    <row r="11" spans="1:37">
      <c r="F11">
        <v>3</v>
      </c>
      <c r="G11">
        <v>2</v>
      </c>
      <c r="H11" t="s">
        <v>26</v>
      </c>
      <c r="I11">
        <v>3</v>
      </c>
      <c r="J11">
        <v>0</v>
      </c>
    </row>
    <row r="12" spans="1:37">
      <c r="F12">
        <v>5</v>
      </c>
      <c r="G12">
        <v>4.25</v>
      </c>
      <c r="H12" t="s">
        <v>43</v>
      </c>
      <c r="I12">
        <v>0</v>
      </c>
      <c r="J12">
        <v>0</v>
      </c>
    </row>
    <row r="13" spans="1:37">
      <c r="F13">
        <v>5</v>
      </c>
      <c r="G13">
        <v>2</v>
      </c>
      <c r="H13" t="s">
        <v>26</v>
      </c>
      <c r="I13">
        <v>3</v>
      </c>
      <c r="J13">
        <v>0</v>
      </c>
    </row>
    <row r="14" spans="1:37">
      <c r="F14">
        <v>4</v>
      </c>
      <c r="G14">
        <v>1.5</v>
      </c>
      <c r="H14" t="s">
        <v>26</v>
      </c>
      <c r="I14">
        <v>2</v>
      </c>
      <c r="J14">
        <v>0.5</v>
      </c>
    </row>
    <row r="15" spans="1:37">
      <c r="F15">
        <v>1</v>
      </c>
      <c r="G15">
        <v>2.75</v>
      </c>
      <c r="H15" t="s">
        <v>26</v>
      </c>
      <c r="I15">
        <v>2</v>
      </c>
      <c r="J15">
        <v>0</v>
      </c>
    </row>
    <row r="16" spans="1:37">
      <c r="F16">
        <v>3</v>
      </c>
      <c r="G16">
        <v>2.25</v>
      </c>
      <c r="H16" t="s">
        <v>26</v>
      </c>
      <c r="I16">
        <v>1</v>
      </c>
      <c r="J16">
        <v>0</v>
      </c>
    </row>
    <row r="17" spans="6:10">
      <c r="F17">
        <v>1</v>
      </c>
      <c r="G17">
        <v>4.25</v>
      </c>
      <c r="H17" t="s">
        <v>30</v>
      </c>
      <c r="I17">
        <v>0</v>
      </c>
      <c r="J17">
        <v>0</v>
      </c>
    </row>
    <row r="18" spans="6:10">
      <c r="F18">
        <v>1</v>
      </c>
      <c r="G18">
        <v>2</v>
      </c>
      <c r="H18" t="s">
        <v>30</v>
      </c>
      <c r="I18">
        <v>0</v>
      </c>
      <c r="J18">
        <v>0</v>
      </c>
    </row>
    <row r="19" spans="6:10">
      <c r="F19">
        <v>1</v>
      </c>
      <c r="G19">
        <v>3</v>
      </c>
      <c r="H19" t="s">
        <v>26</v>
      </c>
      <c r="I19">
        <v>2</v>
      </c>
      <c r="J19">
        <v>0.5</v>
      </c>
    </row>
    <row r="20" spans="6:10">
      <c r="G20">
        <v>3.75</v>
      </c>
      <c r="H20" t="s">
        <v>43</v>
      </c>
      <c r="I20">
        <v>0</v>
      </c>
      <c r="J20">
        <v>0</v>
      </c>
    </row>
    <row r="21" spans="6:10">
      <c r="G21">
        <v>1.75</v>
      </c>
      <c r="H21" t="s">
        <v>43</v>
      </c>
      <c r="I21">
        <v>0</v>
      </c>
      <c r="J21">
        <v>0</v>
      </c>
    </row>
    <row r="22" spans="6:10">
      <c r="G22">
        <v>1</v>
      </c>
      <c r="H22" t="s">
        <v>43</v>
      </c>
      <c r="I22">
        <v>0</v>
      </c>
      <c r="J22">
        <v>0</v>
      </c>
    </row>
    <row r="23" spans="6:10">
      <c r="G23">
        <v>0.5</v>
      </c>
      <c r="H23" t="s">
        <v>54</v>
      </c>
      <c r="I23">
        <v>0</v>
      </c>
      <c r="J23">
        <v>0</v>
      </c>
    </row>
    <row r="24" spans="6:10">
      <c r="G24">
        <v>1.5</v>
      </c>
      <c r="H24" t="s">
        <v>43</v>
      </c>
      <c r="I24">
        <v>0</v>
      </c>
      <c r="J24">
        <v>0</v>
      </c>
    </row>
    <row r="25" spans="6:10">
      <c r="G25">
        <v>0</v>
      </c>
      <c r="H25" t="s">
        <v>36</v>
      </c>
      <c r="I25">
        <v>0</v>
      </c>
      <c r="J25">
        <v>0</v>
      </c>
    </row>
    <row r="26" spans="6:10">
      <c r="G26">
        <v>0</v>
      </c>
      <c r="H26" t="s">
        <v>43</v>
      </c>
      <c r="I26">
        <v>0</v>
      </c>
      <c r="J26">
        <v>0</v>
      </c>
    </row>
    <row r="27" spans="6:10">
      <c r="G27">
        <v>1.5</v>
      </c>
      <c r="H27" t="s">
        <v>36</v>
      </c>
      <c r="I27">
        <v>0</v>
      </c>
      <c r="J27">
        <v>0</v>
      </c>
    </row>
    <row r="28" spans="6:10">
      <c r="G28">
        <v>0.5</v>
      </c>
      <c r="H28" t="s">
        <v>43</v>
      </c>
      <c r="I28">
        <v>0</v>
      </c>
      <c r="J28">
        <v>0</v>
      </c>
    </row>
    <row r="29" spans="6:10">
      <c r="G29">
        <v>0.5</v>
      </c>
      <c r="H29" t="s">
        <v>43</v>
      </c>
      <c r="I29">
        <v>0</v>
      </c>
      <c r="J29">
        <v>0</v>
      </c>
    </row>
    <row r="30" spans="6:10">
      <c r="G30">
        <v>1.75</v>
      </c>
      <c r="H30" t="s">
        <v>43</v>
      </c>
      <c r="I30">
        <v>0</v>
      </c>
      <c r="J30">
        <v>0</v>
      </c>
    </row>
    <row r="31" spans="6:10">
      <c r="G31">
        <v>3</v>
      </c>
      <c r="H31" t="s">
        <v>43</v>
      </c>
      <c r="I31">
        <v>0</v>
      </c>
      <c r="J31">
        <v>0</v>
      </c>
    </row>
    <row r="32" spans="6:10">
      <c r="G32">
        <v>4</v>
      </c>
      <c r="H32" t="s">
        <v>36</v>
      </c>
      <c r="I32">
        <v>0</v>
      </c>
      <c r="J3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202B-C1CF-4A15-AEBD-9F4BCDB5DB68}">
  <dimension ref="A1:AK32"/>
  <sheetViews>
    <sheetView topLeftCell="C1" workbookViewId="0">
      <selection activeCell="E9" sqref="E9"/>
    </sheetView>
  </sheetViews>
  <sheetFormatPr defaultRowHeight="15"/>
  <cols>
    <col min="3" max="4" width="10.140625" bestFit="1" customWidth="1"/>
    <col min="8" max="8" width="14.7109375" customWidth="1"/>
    <col min="9" max="9" width="12.140625" customWidth="1"/>
    <col min="12" max="12" width="29.5703125" customWidth="1"/>
    <col min="13" max="13" width="14.2851562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7">
      <c r="A2" t="s">
        <v>55</v>
      </c>
      <c r="B2" s="2">
        <v>45904</v>
      </c>
      <c r="C2">
        <v>42.663245000000003</v>
      </c>
      <c r="D2">
        <v>74.686065999999997</v>
      </c>
      <c r="E2">
        <v>1475.6</v>
      </c>
      <c r="F2">
        <v>1</v>
      </c>
      <c r="G2">
        <v>4.5</v>
      </c>
      <c r="H2" t="s">
        <v>34</v>
      </c>
      <c r="I2">
        <v>2</v>
      </c>
      <c r="J2">
        <v>0</v>
      </c>
      <c r="K2" s="22">
        <v>24</v>
      </c>
      <c r="L2" s="22" t="s">
        <v>56</v>
      </c>
      <c r="M2">
        <v>6.7159906444533304E-2</v>
      </c>
      <c r="N2">
        <v>7.2365685025281099E-3</v>
      </c>
      <c r="O2">
        <v>0.18613243044307101</v>
      </c>
      <c r="P2">
        <v>0.01</v>
      </c>
      <c r="Q2">
        <v>1.23</v>
      </c>
      <c r="R2">
        <v>5.0999999999999997E-2</v>
      </c>
      <c r="S2">
        <v>0.3</v>
      </c>
      <c r="T2">
        <v>1.3220904208198301</v>
      </c>
      <c r="U2">
        <v>8.0940561784523695</v>
      </c>
      <c r="V2">
        <v>5.0798270214292299E-2</v>
      </c>
      <c r="W2" s="5">
        <v>8.9405958433955103E-4</v>
      </c>
      <c r="X2">
        <v>30.4789621285754</v>
      </c>
      <c r="Y2">
        <v>32.186145036223799</v>
      </c>
      <c r="AK2" s="5"/>
    </row>
    <row r="3" spans="1:37">
      <c r="C3">
        <v>42.663055999999997</v>
      </c>
      <c r="D3">
        <v>74.685556000000005</v>
      </c>
      <c r="E3">
        <v>1467</v>
      </c>
      <c r="F3">
        <v>6</v>
      </c>
      <c r="G3">
        <v>1</v>
      </c>
      <c r="H3" t="s">
        <v>43</v>
      </c>
      <c r="I3">
        <v>0</v>
      </c>
      <c r="J3">
        <v>0</v>
      </c>
      <c r="M3">
        <v>7.4292336524953304E-2</v>
      </c>
      <c r="N3">
        <v>1.52677787265455E-3</v>
      </c>
      <c r="O3">
        <v>0.25777191211571698</v>
      </c>
      <c r="P3">
        <v>0.01</v>
      </c>
      <c r="Q3">
        <v>1.23</v>
      </c>
      <c r="R3">
        <v>5.0999999999999997E-2</v>
      </c>
      <c r="S3">
        <v>0.3</v>
      </c>
      <c r="T3">
        <v>1.3220904208198301</v>
      </c>
      <c r="U3">
        <v>8.0940561784523695</v>
      </c>
      <c r="V3">
        <v>5.61930828293003E-2</v>
      </c>
      <c r="W3" s="5">
        <v>1.8862951269341E-4</v>
      </c>
      <c r="X3">
        <v>33.715849697580197</v>
      </c>
      <c r="Y3">
        <v>6.7906624569627603</v>
      </c>
      <c r="AK3" s="5"/>
    </row>
    <row r="4" spans="1:37">
      <c r="F4">
        <v>6</v>
      </c>
      <c r="G4">
        <v>2.5</v>
      </c>
      <c r="H4" t="s">
        <v>43</v>
      </c>
      <c r="I4">
        <v>0</v>
      </c>
      <c r="J4">
        <v>0</v>
      </c>
      <c r="M4">
        <v>-1.9217131101531899E-2</v>
      </c>
      <c r="N4">
        <v>1.38266844476103E-2</v>
      </c>
      <c r="O4">
        <v>0.12247569680220199</v>
      </c>
      <c r="P4">
        <v>0.01</v>
      </c>
      <c r="Q4">
        <v>1.23</v>
      </c>
      <c r="R4">
        <v>5.0999999999999997E-2</v>
      </c>
      <c r="S4">
        <v>0.3</v>
      </c>
      <c r="T4">
        <v>1.3220904208198301</v>
      </c>
      <c r="U4">
        <v>8.0940561784523695</v>
      </c>
      <c r="V4">
        <v>-1.4535413613855E-2</v>
      </c>
      <c r="W4">
        <v>1.70825160374091E-3</v>
      </c>
      <c r="X4">
        <v>-8.7212481683130196</v>
      </c>
      <c r="Y4">
        <v>61.497057734672801</v>
      </c>
    </row>
    <row r="5" spans="1:37">
      <c r="F5">
        <v>1</v>
      </c>
      <c r="G5">
        <v>3</v>
      </c>
      <c r="H5" t="s">
        <v>28</v>
      </c>
      <c r="I5">
        <v>1</v>
      </c>
      <c r="J5">
        <v>0.5</v>
      </c>
      <c r="M5">
        <v>0.108003614281637</v>
      </c>
      <c r="N5" s="5">
        <v>8.4032339305753099E-4</v>
      </c>
      <c r="O5">
        <v>3.1293219784794997E-2</v>
      </c>
      <c r="P5">
        <v>0.01</v>
      </c>
      <c r="Q5">
        <v>1.23</v>
      </c>
      <c r="R5">
        <v>5.0999999999999997E-2</v>
      </c>
      <c r="S5">
        <v>0.3</v>
      </c>
      <c r="T5">
        <v>1.3220904208198301</v>
      </c>
      <c r="U5">
        <v>8.0940561784523695</v>
      </c>
      <c r="V5">
        <v>8.1691548914380893E-2</v>
      </c>
      <c r="W5" s="5">
        <v>1.0381981228331401E-4</v>
      </c>
      <c r="X5">
        <v>49.014929348628499</v>
      </c>
      <c r="Y5">
        <v>3.7375132421993298</v>
      </c>
      <c r="AB5" s="5"/>
      <c r="AK5" s="5"/>
    </row>
    <row r="6" spans="1:37">
      <c r="F6">
        <v>1</v>
      </c>
      <c r="G6">
        <v>3.25</v>
      </c>
      <c r="H6" t="s">
        <v>43</v>
      </c>
      <c r="I6">
        <v>0</v>
      </c>
      <c r="J6">
        <v>0</v>
      </c>
      <c r="M6">
        <v>7.4712773983745595E-2</v>
      </c>
      <c r="N6">
        <v>4.7333133551574098E-3</v>
      </c>
      <c r="O6">
        <v>0.779384030784529</v>
      </c>
      <c r="P6">
        <v>0.01</v>
      </c>
      <c r="Q6">
        <v>1.23</v>
      </c>
      <c r="R6">
        <v>5.0999999999999997E-2</v>
      </c>
      <c r="S6">
        <v>0.3</v>
      </c>
      <c r="T6">
        <v>1.3220904208198301</v>
      </c>
      <c r="U6">
        <v>8.0940561784523695</v>
      </c>
      <c r="V6">
        <v>5.6511092439060301E-2</v>
      </c>
      <c r="W6" s="5">
        <v>5.847887944932E-4</v>
      </c>
      <c r="X6">
        <v>33.906655463436103</v>
      </c>
      <c r="Y6">
        <v>21.052396601755198</v>
      </c>
      <c r="AK6" s="5"/>
    </row>
    <row r="7" spans="1:37">
      <c r="F7">
        <v>4</v>
      </c>
      <c r="G7">
        <v>2</v>
      </c>
      <c r="H7" t="s">
        <v>34</v>
      </c>
      <c r="I7">
        <v>3</v>
      </c>
      <c r="J7">
        <v>0</v>
      </c>
      <c r="M7">
        <v>8.3003439721338404E-2</v>
      </c>
      <c r="N7">
        <v>4.56702139457979E-3</v>
      </c>
      <c r="O7">
        <v>0.76922401631131199</v>
      </c>
      <c r="P7">
        <v>0.01</v>
      </c>
      <c r="Q7">
        <v>1.23</v>
      </c>
      <c r="R7">
        <v>5.0999999999999997E-2</v>
      </c>
      <c r="S7">
        <v>0.3</v>
      </c>
      <c r="T7">
        <v>1.3220904208198301</v>
      </c>
      <c r="U7">
        <v>8.0940561784523695</v>
      </c>
      <c r="V7">
        <v>6.2781968929075005E-2</v>
      </c>
      <c r="W7" s="5">
        <v>5.6424384682897302E-4</v>
      </c>
      <c r="X7">
        <v>37.669181357444998</v>
      </c>
      <c r="Y7">
        <v>20.312778485843001</v>
      </c>
      <c r="AK7" s="5"/>
    </row>
    <row r="8" spans="1:37">
      <c r="F8">
        <v>6</v>
      </c>
      <c r="G8">
        <v>3.25</v>
      </c>
      <c r="H8" t="s">
        <v>43</v>
      </c>
      <c r="I8">
        <v>0</v>
      </c>
      <c r="J8">
        <v>0</v>
      </c>
      <c r="M8">
        <v>-1.04112376427148E-2</v>
      </c>
      <c r="N8">
        <v>4.4532201034663804E-3</v>
      </c>
      <c r="O8">
        <v>0.56265407500097997</v>
      </c>
      <c r="P8">
        <v>0.01</v>
      </c>
      <c r="Q8">
        <v>1.23</v>
      </c>
      <c r="R8">
        <v>5.0999999999999997E-2</v>
      </c>
      <c r="S8">
        <v>0.3</v>
      </c>
      <c r="T8">
        <v>1.3220904208198301</v>
      </c>
      <c r="U8">
        <v>8.0940561784523695</v>
      </c>
      <c r="V8">
        <v>-7.8748302527287106E-3</v>
      </c>
      <c r="W8" s="5">
        <v>5.5018398751932802E-4</v>
      </c>
      <c r="X8">
        <v>-4.7248981516372197</v>
      </c>
      <c r="Y8">
        <v>19.8066235506958</v>
      </c>
      <c r="AK8" s="5"/>
    </row>
    <row r="9" spans="1:37">
      <c r="E9">
        <f>E2-E3</f>
        <v>8.5999999999999091</v>
      </c>
      <c r="F9">
        <v>1</v>
      </c>
      <c r="G9">
        <v>2.25</v>
      </c>
      <c r="H9" t="s">
        <v>26</v>
      </c>
      <c r="I9">
        <v>1</v>
      </c>
      <c r="J9">
        <v>0.5</v>
      </c>
      <c r="M9" s="5">
        <v>-4.20764084931021E-4</v>
      </c>
      <c r="N9">
        <v>2.0775087457090102E-3</v>
      </c>
      <c r="O9">
        <v>0.47749524399598398</v>
      </c>
      <c r="P9">
        <v>0.01</v>
      </c>
      <c r="Q9">
        <v>1.23</v>
      </c>
      <c r="R9">
        <v>5.0999999999999997E-2</v>
      </c>
      <c r="S9">
        <v>0.3</v>
      </c>
      <c r="T9">
        <v>1.3220904208198301</v>
      </c>
      <c r="U9">
        <v>8.0940561784523695</v>
      </c>
      <c r="V9" s="5">
        <v>-3.1825666255875601E-4</v>
      </c>
      <c r="W9" s="5">
        <v>2.5667090762721202E-4</v>
      </c>
      <c r="X9">
        <v>-0.19095399753525399</v>
      </c>
      <c r="Y9">
        <v>9.2401526745796492</v>
      </c>
      <c r="AA9" s="5"/>
      <c r="AJ9" s="5"/>
      <c r="AK9" s="5"/>
    </row>
    <row r="10" spans="1:37">
      <c r="F10">
        <v>4</v>
      </c>
      <c r="G10">
        <v>3</v>
      </c>
      <c r="H10" t="s">
        <v>26</v>
      </c>
      <c r="I10">
        <v>1</v>
      </c>
      <c r="J10">
        <v>0</v>
      </c>
      <c r="M10">
        <v>9.5210417361090399E-2</v>
      </c>
      <c r="N10">
        <v>7.7259568713103702E-3</v>
      </c>
      <c r="O10">
        <v>0.33462570286625498</v>
      </c>
      <c r="P10">
        <v>0.01</v>
      </c>
      <c r="Q10">
        <v>1.23</v>
      </c>
      <c r="R10">
        <v>5.0999999999999997E-2</v>
      </c>
      <c r="S10">
        <v>0.3</v>
      </c>
      <c r="T10">
        <v>1.3220904208198301</v>
      </c>
      <c r="U10">
        <v>8.0940561784523695</v>
      </c>
      <c r="V10">
        <v>7.2015057262157706E-2</v>
      </c>
      <c r="W10" s="5">
        <v>9.54522269301523E-4</v>
      </c>
      <c r="X10">
        <v>43.209034357294598</v>
      </c>
      <c r="Y10">
        <v>34.362801694854802</v>
      </c>
      <c r="AK10" s="5"/>
    </row>
    <row r="11" spans="1:37">
      <c r="F11">
        <v>3</v>
      </c>
      <c r="G11">
        <v>1.5</v>
      </c>
      <c r="H11" t="s">
        <v>26</v>
      </c>
      <c r="I11">
        <v>2</v>
      </c>
      <c r="J11">
        <v>0.5</v>
      </c>
    </row>
    <row r="12" spans="1:37">
      <c r="F12">
        <v>1</v>
      </c>
      <c r="G12">
        <v>1.25</v>
      </c>
      <c r="H12" t="s">
        <v>36</v>
      </c>
      <c r="I12">
        <v>0</v>
      </c>
      <c r="J12">
        <v>0</v>
      </c>
    </row>
    <row r="13" spans="1:37">
      <c r="F13">
        <v>4</v>
      </c>
      <c r="G13">
        <v>0.75</v>
      </c>
      <c r="H13" t="s">
        <v>34</v>
      </c>
      <c r="I13">
        <v>4</v>
      </c>
      <c r="J13">
        <v>0</v>
      </c>
    </row>
    <row r="14" spans="1:37">
      <c r="F14">
        <v>3</v>
      </c>
      <c r="G14">
        <v>1.75</v>
      </c>
      <c r="H14" t="s">
        <v>26</v>
      </c>
      <c r="I14">
        <v>0</v>
      </c>
      <c r="J14">
        <v>0</v>
      </c>
    </row>
    <row r="15" spans="1:37">
      <c r="F15">
        <v>6</v>
      </c>
      <c r="G15">
        <v>3.25</v>
      </c>
      <c r="H15" t="s">
        <v>43</v>
      </c>
      <c r="I15">
        <v>0</v>
      </c>
      <c r="J15">
        <v>0</v>
      </c>
    </row>
    <row r="16" spans="1:37">
      <c r="F16">
        <v>6</v>
      </c>
      <c r="G16">
        <v>0.5</v>
      </c>
      <c r="H16" t="s">
        <v>30</v>
      </c>
      <c r="I16">
        <v>0</v>
      </c>
      <c r="J16">
        <v>0</v>
      </c>
    </row>
    <row r="17" spans="6:10">
      <c r="F17">
        <v>1</v>
      </c>
      <c r="G17">
        <v>2.5</v>
      </c>
      <c r="H17" t="s">
        <v>34</v>
      </c>
      <c r="I17">
        <v>5</v>
      </c>
      <c r="J17">
        <v>0</v>
      </c>
    </row>
    <row r="18" spans="6:10">
      <c r="F18">
        <v>6</v>
      </c>
      <c r="G18">
        <v>2.25</v>
      </c>
      <c r="H18" t="s">
        <v>30</v>
      </c>
      <c r="I18">
        <v>0</v>
      </c>
      <c r="J18">
        <v>0</v>
      </c>
    </row>
    <row r="19" spans="6:10">
      <c r="F19">
        <v>6</v>
      </c>
      <c r="G19">
        <v>0.75</v>
      </c>
      <c r="H19" t="s">
        <v>30</v>
      </c>
      <c r="I19">
        <v>0</v>
      </c>
      <c r="J19">
        <v>0</v>
      </c>
    </row>
    <row r="20" spans="6:10">
      <c r="G20">
        <v>4.5</v>
      </c>
      <c r="H20" t="s">
        <v>43</v>
      </c>
      <c r="I20">
        <v>0</v>
      </c>
      <c r="J20">
        <v>0</v>
      </c>
    </row>
    <row r="21" spans="6:10">
      <c r="G21">
        <v>2</v>
      </c>
      <c r="H21" t="s">
        <v>26</v>
      </c>
      <c r="I21">
        <v>1</v>
      </c>
      <c r="J21">
        <v>1</v>
      </c>
    </row>
    <row r="22" spans="6:10">
      <c r="G22">
        <v>2</v>
      </c>
      <c r="H22" t="s">
        <v>26</v>
      </c>
      <c r="I22">
        <v>1</v>
      </c>
      <c r="J22">
        <v>0</v>
      </c>
    </row>
    <row r="23" spans="6:10">
      <c r="G23">
        <v>0</v>
      </c>
      <c r="H23" t="s">
        <v>43</v>
      </c>
      <c r="I23">
        <v>0</v>
      </c>
      <c r="J23">
        <v>0</v>
      </c>
    </row>
    <row r="24" spans="6:10">
      <c r="G24">
        <v>3</v>
      </c>
      <c r="H24" t="s">
        <v>34</v>
      </c>
      <c r="I24">
        <v>98</v>
      </c>
      <c r="J24">
        <v>2</v>
      </c>
    </row>
    <row r="25" spans="6:10">
      <c r="G25">
        <v>0.75</v>
      </c>
      <c r="H25" t="s">
        <v>34</v>
      </c>
      <c r="I25">
        <v>82</v>
      </c>
      <c r="J25">
        <v>2</v>
      </c>
    </row>
    <row r="26" spans="6:10">
      <c r="G26">
        <v>4.5</v>
      </c>
      <c r="H26" t="s">
        <v>26</v>
      </c>
      <c r="I26">
        <v>1</v>
      </c>
      <c r="J26">
        <v>0</v>
      </c>
    </row>
    <row r="27" spans="6:10">
      <c r="G27">
        <v>4.5</v>
      </c>
      <c r="H27" t="s">
        <v>26</v>
      </c>
      <c r="I27">
        <v>1</v>
      </c>
      <c r="J27">
        <v>0</v>
      </c>
    </row>
    <row r="28" spans="6:10">
      <c r="G28">
        <v>1.5</v>
      </c>
      <c r="H28" t="s">
        <v>43</v>
      </c>
      <c r="I28">
        <v>0</v>
      </c>
      <c r="J28">
        <v>0</v>
      </c>
    </row>
    <row r="29" spans="6:10">
      <c r="G29">
        <v>2</v>
      </c>
      <c r="H29" t="s">
        <v>43</v>
      </c>
      <c r="I29">
        <v>0</v>
      </c>
      <c r="J29">
        <v>0</v>
      </c>
    </row>
    <row r="30" spans="6:10">
      <c r="G30">
        <v>0.75</v>
      </c>
      <c r="H30" t="s">
        <v>26</v>
      </c>
      <c r="I30">
        <v>1</v>
      </c>
      <c r="J30">
        <v>0</v>
      </c>
    </row>
    <row r="31" spans="6:10">
      <c r="G31">
        <v>1.5</v>
      </c>
      <c r="H31" t="s">
        <v>43</v>
      </c>
      <c r="I31">
        <v>0</v>
      </c>
      <c r="J31">
        <v>0</v>
      </c>
    </row>
    <row r="32" spans="6:10">
      <c r="G32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A698-C3A0-49E6-801D-440CBBDAB68A}">
  <dimension ref="A1:AM31"/>
  <sheetViews>
    <sheetView workbookViewId="0">
      <selection activeCell="E9" sqref="E9"/>
    </sheetView>
  </sheetViews>
  <sheetFormatPr defaultRowHeight="15"/>
  <cols>
    <col min="2" max="2" width="9.85546875" bestFit="1" customWidth="1"/>
    <col min="3" max="3" width="15.7109375" bestFit="1" customWidth="1"/>
    <col min="4" max="4" width="18.85546875" customWidth="1"/>
    <col min="5" max="5" width="13.42578125" customWidth="1"/>
    <col min="6" max="6" width="14.28515625" customWidth="1"/>
    <col min="7" max="7" width="12" customWidth="1"/>
    <col min="11" max="11" width="12.7109375" customWidth="1"/>
    <col min="12" max="12" width="28.285156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9">
      <c r="A2">
        <v>5.0999999999999996</v>
      </c>
      <c r="B2" s="2">
        <v>45907</v>
      </c>
      <c r="C2" s="1" t="s">
        <v>57</v>
      </c>
      <c r="D2" s="1" t="s">
        <v>58</v>
      </c>
      <c r="E2">
        <v>2341</v>
      </c>
      <c r="F2">
        <v>5</v>
      </c>
      <c r="G2">
        <v>0.5</v>
      </c>
      <c r="H2" t="s">
        <v>43</v>
      </c>
      <c r="I2">
        <v>0</v>
      </c>
      <c r="J2">
        <v>0.5</v>
      </c>
      <c r="K2">
        <v>6</v>
      </c>
      <c r="L2" t="s">
        <v>59</v>
      </c>
      <c r="M2">
        <v>-4.3592781576255301E-3</v>
      </c>
      <c r="N2">
        <v>3.46512330898447E-3</v>
      </c>
      <c r="O2">
        <v>0.55030397272254805</v>
      </c>
      <c r="P2">
        <v>1.9E-2</v>
      </c>
      <c r="Q2">
        <v>1.31</v>
      </c>
      <c r="R2">
        <v>0.2</v>
      </c>
      <c r="S2">
        <v>0.35</v>
      </c>
      <c r="T2">
        <v>1.0722525821387101</v>
      </c>
      <c r="U2">
        <v>6.1090198565416003</v>
      </c>
      <c r="V2">
        <v>-4.0655329073029803E-3</v>
      </c>
      <c r="W2" s="5">
        <v>5.6721428156334796E-4</v>
      </c>
      <c r="X2">
        <v>-2.4393197443817898</v>
      </c>
      <c r="Y2">
        <v>20.419714136280501</v>
      </c>
      <c r="AA2">
        <v>-4.3592781576255301E-3</v>
      </c>
      <c r="AB2">
        <v>3.46512330898447E-3</v>
      </c>
      <c r="AC2">
        <v>0.55030397272254805</v>
      </c>
      <c r="AD2">
        <v>1.9E-2</v>
      </c>
      <c r="AE2">
        <v>1.31</v>
      </c>
      <c r="AF2">
        <v>0.2</v>
      </c>
      <c r="AG2">
        <v>0.35</v>
      </c>
      <c r="AH2">
        <v>1.0722525821387101</v>
      </c>
      <c r="AI2">
        <v>6.1090198565416003</v>
      </c>
      <c r="AJ2">
        <v>-4.0655329073029803E-3</v>
      </c>
      <c r="AK2" s="5">
        <v>5.6721428156334796E-4</v>
      </c>
      <c r="AL2">
        <v>-2.4393197443817898</v>
      </c>
      <c r="AM2">
        <v>20.419714136280501</v>
      </c>
    </row>
    <row r="3" spans="1:39">
      <c r="C3" s="1" t="s">
        <v>60</v>
      </c>
      <c r="D3" s="1" t="s">
        <v>61</v>
      </c>
      <c r="E3">
        <v>2336</v>
      </c>
      <c r="F3">
        <v>5</v>
      </c>
      <c r="G3">
        <v>0.75</v>
      </c>
      <c r="H3" t="s">
        <v>28</v>
      </c>
      <c r="I3">
        <v>6</v>
      </c>
      <c r="J3">
        <v>3</v>
      </c>
      <c r="M3">
        <v>7.6877253745595503E-3</v>
      </c>
      <c r="N3" s="5">
        <v>9.8959234144506696E-4</v>
      </c>
      <c r="O3">
        <v>0.13523303516844201</v>
      </c>
      <c r="P3">
        <v>1.9E-2</v>
      </c>
      <c r="Q3">
        <v>1.31</v>
      </c>
      <c r="R3">
        <v>0.2</v>
      </c>
      <c r="S3">
        <v>0.35</v>
      </c>
      <c r="T3">
        <v>1.0722525821387101</v>
      </c>
      <c r="U3">
        <v>6.1090198565416003</v>
      </c>
      <c r="V3">
        <v>7.16969630348254E-3</v>
      </c>
      <c r="W3" s="5">
        <v>1.6198872563581501E-4</v>
      </c>
      <c r="X3">
        <v>4.3018177820895298</v>
      </c>
      <c r="Y3">
        <v>5.83159412288936</v>
      </c>
      <c r="AA3">
        <v>7.6877253745595503E-3</v>
      </c>
      <c r="AB3" s="5">
        <v>9.8959234144506696E-4</v>
      </c>
      <c r="AC3">
        <v>0.13523303516844201</v>
      </c>
      <c r="AD3">
        <v>1.9E-2</v>
      </c>
      <c r="AE3">
        <v>1.31</v>
      </c>
      <c r="AF3">
        <v>0.2</v>
      </c>
      <c r="AG3">
        <v>0.35</v>
      </c>
      <c r="AH3">
        <v>1.0722525821387101</v>
      </c>
      <c r="AI3">
        <v>6.1090198565416003</v>
      </c>
      <c r="AJ3">
        <v>7.16969630348254E-3</v>
      </c>
      <c r="AK3" s="5">
        <v>1.6198872563581501E-4</v>
      </c>
      <c r="AL3">
        <v>4.3018177820895298</v>
      </c>
      <c r="AM3">
        <v>5.83159412288936</v>
      </c>
    </row>
    <row r="4" spans="1:39">
      <c r="F4">
        <v>5</v>
      </c>
      <c r="G4">
        <v>1</v>
      </c>
      <c r="H4" t="s">
        <v>26</v>
      </c>
      <c r="I4">
        <v>7</v>
      </c>
      <c r="J4">
        <v>3.5</v>
      </c>
      <c r="M4">
        <v>-2.0251574924716399E-2</v>
      </c>
      <c r="N4">
        <v>2.2556099540877298E-3</v>
      </c>
      <c r="O4">
        <v>0.50992961292379102</v>
      </c>
      <c r="P4">
        <v>1.9E-2</v>
      </c>
      <c r="Q4">
        <v>1.31</v>
      </c>
      <c r="R4">
        <v>0.2</v>
      </c>
      <c r="S4">
        <v>0.35</v>
      </c>
      <c r="T4">
        <v>1.0722525821387101</v>
      </c>
      <c r="U4">
        <v>6.1090198565416003</v>
      </c>
      <c r="V4">
        <v>-1.88869444215491E-2</v>
      </c>
      <c r="W4" s="5">
        <v>3.6922616181585998E-4</v>
      </c>
      <c r="X4">
        <v>-11.3321666529294</v>
      </c>
      <c r="Y4">
        <v>13.2921418253709</v>
      </c>
      <c r="AA4">
        <v>-2.0251574924716399E-2</v>
      </c>
      <c r="AB4">
        <v>2.2556099540877298E-3</v>
      </c>
      <c r="AC4">
        <v>0.50992961292379102</v>
      </c>
      <c r="AD4">
        <v>1.9E-2</v>
      </c>
      <c r="AE4">
        <v>1.31</v>
      </c>
      <c r="AF4">
        <v>0.2</v>
      </c>
      <c r="AG4">
        <v>0.35</v>
      </c>
      <c r="AH4">
        <v>1.0722525821387101</v>
      </c>
      <c r="AI4">
        <v>6.1090198565416003</v>
      </c>
      <c r="AJ4">
        <v>-1.88869444215491E-2</v>
      </c>
      <c r="AK4" s="5">
        <v>3.6922616181585998E-4</v>
      </c>
      <c r="AL4">
        <v>-11.3321666529294</v>
      </c>
      <c r="AM4">
        <v>13.2921418253709</v>
      </c>
    </row>
    <row r="5" spans="1:39">
      <c r="F5">
        <v>5</v>
      </c>
      <c r="G5">
        <v>2.25</v>
      </c>
      <c r="H5" t="s">
        <v>28</v>
      </c>
      <c r="I5">
        <v>4.5</v>
      </c>
      <c r="J5">
        <v>4</v>
      </c>
      <c r="M5">
        <v>-2.93487140938816E-3</v>
      </c>
      <c r="N5">
        <v>2.51588975680296E-3</v>
      </c>
      <c r="O5">
        <v>0.48358298133378003</v>
      </c>
      <c r="P5">
        <v>1.9E-2</v>
      </c>
      <c r="Q5">
        <v>1.31</v>
      </c>
      <c r="R5">
        <v>0.2</v>
      </c>
      <c r="S5">
        <v>0.35</v>
      </c>
      <c r="T5">
        <v>1.0722525821387101</v>
      </c>
      <c r="U5">
        <v>6.1090198565416003</v>
      </c>
      <c r="V5">
        <v>-2.73710826933545E-3</v>
      </c>
      <c r="W5" s="5">
        <v>4.1183198219742602E-4</v>
      </c>
      <c r="X5">
        <v>-1.6422649616012699</v>
      </c>
      <c r="Y5">
        <v>14.8259513591073</v>
      </c>
      <c r="AA5">
        <v>-2.93487140938816E-3</v>
      </c>
      <c r="AB5">
        <v>2.51588975680296E-3</v>
      </c>
      <c r="AC5">
        <v>0.48358298133378003</v>
      </c>
      <c r="AD5">
        <v>1.9E-2</v>
      </c>
      <c r="AE5">
        <v>1.31</v>
      </c>
      <c r="AF5">
        <v>0.2</v>
      </c>
      <c r="AG5">
        <v>0.35</v>
      </c>
      <c r="AH5">
        <v>1.0722525821387101</v>
      </c>
      <c r="AI5">
        <v>6.1090198565416003</v>
      </c>
      <c r="AJ5">
        <v>-2.73710826933545E-3</v>
      </c>
      <c r="AK5" s="5">
        <v>4.1183198219742602E-4</v>
      </c>
      <c r="AL5">
        <v>-1.6422649616012699</v>
      </c>
      <c r="AM5">
        <v>14.8259513591073</v>
      </c>
    </row>
    <row r="6" spans="1:39">
      <c r="F6">
        <v>6</v>
      </c>
      <c r="G6">
        <v>1.25</v>
      </c>
      <c r="H6" t="s">
        <v>28</v>
      </c>
      <c r="I6">
        <v>4</v>
      </c>
      <c r="J6">
        <v>3</v>
      </c>
      <c r="M6">
        <v>4.4288015796844098E-2</v>
      </c>
      <c r="N6">
        <v>2.5973237005825801E-3</v>
      </c>
      <c r="O6">
        <v>0.449459440945433</v>
      </c>
      <c r="P6">
        <v>1.9E-2</v>
      </c>
      <c r="Q6">
        <v>1.31</v>
      </c>
      <c r="R6">
        <v>0.2</v>
      </c>
      <c r="S6">
        <v>0.35</v>
      </c>
      <c r="T6">
        <v>1.0722525821387101</v>
      </c>
      <c r="U6">
        <v>6.1090198565416003</v>
      </c>
      <c r="V6">
        <v>4.1303715686566399E-2</v>
      </c>
      <c r="W6" s="5">
        <v>4.2516209827037001E-4</v>
      </c>
      <c r="X6">
        <v>24.782229411939799</v>
      </c>
      <c r="Y6">
        <v>15.3058355377333</v>
      </c>
      <c r="AA6">
        <v>4.4288015796844098E-2</v>
      </c>
      <c r="AB6">
        <v>2.5973237005825801E-3</v>
      </c>
      <c r="AC6">
        <v>0.449459440945433</v>
      </c>
      <c r="AD6">
        <v>1.9E-2</v>
      </c>
      <c r="AE6">
        <v>1.31</v>
      </c>
      <c r="AF6">
        <v>0.2</v>
      </c>
      <c r="AG6">
        <v>0.35</v>
      </c>
      <c r="AH6">
        <v>1.0722525821387101</v>
      </c>
      <c r="AI6">
        <v>6.1090198565416003</v>
      </c>
      <c r="AJ6">
        <v>4.1303715686566399E-2</v>
      </c>
      <c r="AK6" s="5">
        <v>4.2516209827037001E-4</v>
      </c>
      <c r="AL6">
        <v>24.782229411939799</v>
      </c>
      <c r="AM6">
        <v>15.3058355377333</v>
      </c>
    </row>
    <row r="7" spans="1:39">
      <c r="F7">
        <v>3</v>
      </c>
      <c r="G7">
        <v>0.25</v>
      </c>
      <c r="H7" t="s">
        <v>31</v>
      </c>
      <c r="I7">
        <v>6</v>
      </c>
      <c r="J7">
        <v>1</v>
      </c>
      <c r="M7">
        <v>3.3694041930071202E-2</v>
      </c>
      <c r="N7" s="5">
        <v>7.9709358909294101E-4</v>
      </c>
      <c r="O7">
        <v>8.1808390828777097E-2</v>
      </c>
      <c r="P7">
        <v>1.9E-2</v>
      </c>
      <c r="Q7">
        <v>1.31</v>
      </c>
      <c r="R7">
        <v>0.2</v>
      </c>
      <c r="S7">
        <v>0.35</v>
      </c>
      <c r="T7">
        <v>1.0722525821387101</v>
      </c>
      <c r="U7">
        <v>6.1090198565416003</v>
      </c>
      <c r="V7">
        <v>3.1423605306564198E-2</v>
      </c>
      <c r="W7" s="5">
        <v>1.3047814670947601E-4</v>
      </c>
      <c r="X7">
        <v>18.8541631839385</v>
      </c>
      <c r="Y7">
        <v>4.6972132815411598</v>
      </c>
      <c r="AA7">
        <v>3.3694041930071202E-2</v>
      </c>
      <c r="AB7" s="5">
        <v>7.9709358909294101E-4</v>
      </c>
      <c r="AC7">
        <v>8.1808390828777097E-2</v>
      </c>
      <c r="AD7">
        <v>1.9E-2</v>
      </c>
      <c r="AE7">
        <v>1.31</v>
      </c>
      <c r="AF7">
        <v>0.2</v>
      </c>
      <c r="AG7">
        <v>0.35</v>
      </c>
      <c r="AH7">
        <v>1.0722525821387101</v>
      </c>
      <c r="AI7">
        <v>6.1090198565416003</v>
      </c>
      <c r="AJ7">
        <v>3.1423605306564198E-2</v>
      </c>
      <c r="AK7" s="5">
        <v>1.3047814670947601E-4</v>
      </c>
      <c r="AL7">
        <v>18.8541631839385</v>
      </c>
      <c r="AM7">
        <v>4.6972132815411598</v>
      </c>
    </row>
    <row r="8" spans="1:39">
      <c r="F8">
        <v>4</v>
      </c>
      <c r="G8">
        <v>0.5</v>
      </c>
      <c r="H8" t="s">
        <v>26</v>
      </c>
      <c r="I8">
        <v>6</v>
      </c>
      <c r="J8">
        <v>2</v>
      </c>
      <c r="M8">
        <v>-4.77146228538027E-2</v>
      </c>
      <c r="N8">
        <v>5.1448477399739902E-3</v>
      </c>
      <c r="O8">
        <v>0.109379881330486</v>
      </c>
      <c r="P8">
        <v>1.9E-2</v>
      </c>
      <c r="Q8">
        <v>1.31</v>
      </c>
      <c r="R8">
        <v>0.2</v>
      </c>
      <c r="S8">
        <v>0.35</v>
      </c>
      <c r="T8">
        <v>1.0722525821387101</v>
      </c>
      <c r="U8">
        <v>6.1090198565416003</v>
      </c>
      <c r="V8">
        <v>-4.4499424527970101E-2</v>
      </c>
      <c r="W8" s="5">
        <v>8.4217237147540705E-4</v>
      </c>
      <c r="X8">
        <v>-26.699654716782</v>
      </c>
      <c r="Y8">
        <v>30.318205373114601</v>
      </c>
      <c r="AA8">
        <v>-4.77146228538027E-2</v>
      </c>
      <c r="AB8">
        <v>5.1448477399739902E-3</v>
      </c>
      <c r="AC8">
        <v>0.109379881330486</v>
      </c>
      <c r="AD8">
        <v>1.9E-2</v>
      </c>
      <c r="AE8">
        <v>1.31</v>
      </c>
      <c r="AF8">
        <v>0.2</v>
      </c>
      <c r="AG8">
        <v>0.35</v>
      </c>
      <c r="AH8">
        <v>1.0722525821387101</v>
      </c>
      <c r="AI8">
        <v>6.1090198565416003</v>
      </c>
      <c r="AJ8">
        <v>-4.4499424527970101E-2</v>
      </c>
      <c r="AK8" s="5">
        <v>8.4217237147540705E-4</v>
      </c>
      <c r="AL8">
        <v>-26.699654716782</v>
      </c>
      <c r="AM8">
        <v>30.318205373114601</v>
      </c>
    </row>
    <row r="9" spans="1:39">
      <c r="E9">
        <f>E2-E3</f>
        <v>5</v>
      </c>
      <c r="F9">
        <v>5</v>
      </c>
      <c r="G9">
        <v>0.75</v>
      </c>
      <c r="H9" t="s">
        <v>26</v>
      </c>
      <c r="I9">
        <v>6</v>
      </c>
      <c r="J9">
        <v>1</v>
      </c>
    </row>
    <row r="10" spans="1:39">
      <c r="F10">
        <v>5</v>
      </c>
      <c r="G10">
        <v>1.5</v>
      </c>
      <c r="H10" t="s">
        <v>35</v>
      </c>
      <c r="I10">
        <v>0</v>
      </c>
      <c r="J10">
        <v>4.5</v>
      </c>
    </row>
    <row r="11" spans="1:39">
      <c r="F11">
        <v>5</v>
      </c>
      <c r="G11">
        <v>1.25</v>
      </c>
      <c r="H11" t="s">
        <v>35</v>
      </c>
      <c r="I11">
        <v>0</v>
      </c>
      <c r="J11">
        <v>14</v>
      </c>
    </row>
    <row r="12" spans="1:39">
      <c r="F12">
        <v>5</v>
      </c>
      <c r="G12">
        <v>1.25</v>
      </c>
      <c r="H12" t="s">
        <v>43</v>
      </c>
      <c r="I12">
        <v>0</v>
      </c>
      <c r="J12">
        <v>0</v>
      </c>
    </row>
    <row r="13" spans="1:39">
      <c r="F13">
        <v>4</v>
      </c>
      <c r="G13">
        <v>1.25</v>
      </c>
      <c r="H13" t="s">
        <v>28</v>
      </c>
      <c r="I13">
        <v>1</v>
      </c>
      <c r="J13">
        <v>3.5</v>
      </c>
    </row>
    <row r="14" spans="1:39">
      <c r="F14">
        <v>4</v>
      </c>
      <c r="G14">
        <v>0.5</v>
      </c>
      <c r="H14" t="s">
        <v>34</v>
      </c>
      <c r="I14">
        <v>141</v>
      </c>
      <c r="J14">
        <v>8.5</v>
      </c>
    </row>
    <row r="15" spans="1:39">
      <c r="F15">
        <v>4</v>
      </c>
      <c r="G15">
        <v>1</v>
      </c>
      <c r="H15" t="s">
        <v>34</v>
      </c>
      <c r="I15">
        <v>56</v>
      </c>
      <c r="J15">
        <v>2</v>
      </c>
    </row>
    <row r="16" spans="1:39">
      <c r="F16">
        <v>4</v>
      </c>
      <c r="G16">
        <v>0.75</v>
      </c>
      <c r="H16" t="s">
        <v>28</v>
      </c>
      <c r="I16">
        <v>2.5</v>
      </c>
      <c r="J16">
        <v>2</v>
      </c>
    </row>
    <row r="17" spans="6:10">
      <c r="F17">
        <v>3</v>
      </c>
      <c r="G17">
        <v>1.25</v>
      </c>
      <c r="H17" t="s">
        <v>35</v>
      </c>
      <c r="I17">
        <v>0</v>
      </c>
      <c r="J17">
        <v>4.5</v>
      </c>
    </row>
    <row r="18" spans="6:10">
      <c r="F18">
        <v>3</v>
      </c>
      <c r="G18">
        <v>0.5</v>
      </c>
      <c r="H18" t="s">
        <v>26</v>
      </c>
      <c r="I18">
        <v>3.5</v>
      </c>
      <c r="J18">
        <v>5</v>
      </c>
    </row>
    <row r="19" spans="6:10">
      <c r="F19">
        <v>4</v>
      </c>
      <c r="G19">
        <v>0.75</v>
      </c>
      <c r="H19" t="s">
        <v>43</v>
      </c>
      <c r="I19">
        <v>0</v>
      </c>
      <c r="J19">
        <v>2</v>
      </c>
    </row>
    <row r="20" spans="6:10">
      <c r="G20">
        <v>1</v>
      </c>
      <c r="H20" t="s">
        <v>35</v>
      </c>
      <c r="I20">
        <v>0</v>
      </c>
      <c r="J20">
        <v>2.5</v>
      </c>
    </row>
    <row r="21" spans="6:10">
      <c r="G21">
        <v>1.25</v>
      </c>
      <c r="H21" t="s">
        <v>26</v>
      </c>
      <c r="I21">
        <v>2</v>
      </c>
      <c r="J21">
        <v>2</v>
      </c>
    </row>
    <row r="22" spans="6:10">
      <c r="G22">
        <v>1</v>
      </c>
      <c r="H22" t="s">
        <v>28</v>
      </c>
      <c r="I22">
        <v>6</v>
      </c>
      <c r="J22">
        <v>3</v>
      </c>
    </row>
    <row r="23" spans="6:10">
      <c r="G23">
        <v>0</v>
      </c>
      <c r="H23" t="s">
        <v>26</v>
      </c>
      <c r="I23">
        <v>5</v>
      </c>
      <c r="J23">
        <v>3</v>
      </c>
    </row>
    <row r="24" spans="6:10">
      <c r="G24">
        <v>0.5</v>
      </c>
      <c r="H24" t="s">
        <v>28</v>
      </c>
      <c r="I24">
        <v>3</v>
      </c>
      <c r="J24">
        <v>5</v>
      </c>
    </row>
    <row r="25" spans="6:10">
      <c r="G25">
        <v>0.25</v>
      </c>
      <c r="H25" t="s">
        <v>35</v>
      </c>
      <c r="I25">
        <v>0</v>
      </c>
      <c r="J25">
        <v>3</v>
      </c>
    </row>
    <row r="26" spans="6:10">
      <c r="G26">
        <v>0.5</v>
      </c>
      <c r="H26" t="s">
        <v>26</v>
      </c>
      <c r="I26">
        <v>7</v>
      </c>
      <c r="J26">
        <v>2</v>
      </c>
    </row>
    <row r="27" spans="6:10">
      <c r="G27">
        <v>0.25</v>
      </c>
      <c r="H27" t="s">
        <v>30</v>
      </c>
      <c r="I27">
        <v>0</v>
      </c>
      <c r="J27">
        <v>0</v>
      </c>
    </row>
    <row r="28" spans="6:10">
      <c r="G28">
        <v>0.5</v>
      </c>
      <c r="H28" t="s">
        <v>34</v>
      </c>
      <c r="I28">
        <v>7</v>
      </c>
      <c r="J28">
        <v>2</v>
      </c>
    </row>
    <row r="29" spans="6:10">
      <c r="G29">
        <v>0</v>
      </c>
      <c r="H29" t="s">
        <v>35</v>
      </c>
      <c r="I29">
        <v>0</v>
      </c>
      <c r="J29">
        <v>8</v>
      </c>
    </row>
    <row r="30" spans="6:10">
      <c r="G30">
        <v>0.75</v>
      </c>
      <c r="H30" t="s">
        <v>26</v>
      </c>
      <c r="I30">
        <v>13</v>
      </c>
      <c r="J30">
        <v>5.5</v>
      </c>
    </row>
    <row r="31" spans="6:10">
      <c r="G31">
        <v>0</v>
      </c>
      <c r="H31" t="s">
        <v>30</v>
      </c>
      <c r="I31">
        <v>0</v>
      </c>
      <c r="J3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61BA-481D-4176-9684-EED88F4CE7D4}">
  <dimension ref="A1:AM32"/>
  <sheetViews>
    <sheetView workbookViewId="0">
      <selection activeCell="E9" sqref="E9"/>
    </sheetView>
  </sheetViews>
  <sheetFormatPr defaultRowHeight="15"/>
  <cols>
    <col min="3" max="4" width="10.140625" bestFit="1" customWidth="1"/>
    <col min="6" max="6" width="10.5703125" customWidth="1"/>
    <col min="12" max="12" width="27.42578125" customWidth="1"/>
    <col min="13" max="13" width="11.7109375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9">
      <c r="B2" s="2">
        <v>45908</v>
      </c>
      <c r="C2">
        <v>42.523406000000001</v>
      </c>
      <c r="D2">
        <v>74.478066999999996</v>
      </c>
      <c r="E2">
        <v>2514</v>
      </c>
      <c r="F2">
        <v>5</v>
      </c>
      <c r="G2">
        <v>0</v>
      </c>
      <c r="H2" t="s">
        <v>35</v>
      </c>
      <c r="I2">
        <v>0</v>
      </c>
      <c r="J2">
        <v>15</v>
      </c>
      <c r="K2">
        <v>0</v>
      </c>
      <c r="L2" t="s">
        <v>62</v>
      </c>
      <c r="M2">
        <v>-3.6591418641869398E-2</v>
      </c>
      <c r="N2">
        <v>6.6986893774526098E-3</v>
      </c>
      <c r="O2">
        <v>0.10282625086934</v>
      </c>
      <c r="P2">
        <v>0.02</v>
      </c>
      <c r="Q2">
        <v>1.41</v>
      </c>
      <c r="R2">
        <v>0.35</v>
      </c>
      <c r="S2">
        <v>0.5</v>
      </c>
      <c r="T2">
        <v>1.0595429738497899</v>
      </c>
      <c r="U2">
        <v>7.3679325598285201</v>
      </c>
      <c r="V2">
        <v>-3.4535096305642297E-2</v>
      </c>
      <c r="W2" s="5">
        <v>9.0916811779402499E-4</v>
      </c>
      <c r="X2">
        <v>-20.721057783385401</v>
      </c>
      <c r="Y2">
        <v>32.730052240584897</v>
      </c>
      <c r="AA2">
        <v>-3.6591418641869398E-2</v>
      </c>
      <c r="AB2">
        <v>6.6986893774526098E-3</v>
      </c>
      <c r="AC2">
        <v>0.10282625086934</v>
      </c>
      <c r="AD2">
        <v>0.02</v>
      </c>
      <c r="AE2">
        <v>1.41</v>
      </c>
      <c r="AF2">
        <v>0.35</v>
      </c>
      <c r="AG2">
        <v>0.5</v>
      </c>
      <c r="AH2">
        <v>1.0595429738497899</v>
      </c>
      <c r="AI2">
        <v>7.3679325598285201</v>
      </c>
      <c r="AJ2">
        <v>-3.4535096305642297E-2</v>
      </c>
      <c r="AK2" s="5">
        <v>9.0916811779402499E-4</v>
      </c>
      <c r="AL2">
        <v>-20.721057783385401</v>
      </c>
      <c r="AM2">
        <v>32.730052240584897</v>
      </c>
    </row>
    <row r="3" spans="1:39">
      <c r="C3">
        <v>42.523220000000002</v>
      </c>
      <c r="D3">
        <v>74.477951000000004</v>
      </c>
      <c r="E3">
        <v>2508</v>
      </c>
      <c r="F3">
        <v>5</v>
      </c>
      <c r="G3">
        <v>0</v>
      </c>
      <c r="H3" t="s">
        <v>34</v>
      </c>
      <c r="I3">
        <v>1</v>
      </c>
      <c r="J3">
        <v>15</v>
      </c>
      <c r="M3">
        <v>8.2341001475929904E-2</v>
      </c>
      <c r="N3">
        <v>2.3082081333645099E-3</v>
      </c>
      <c r="O3">
        <v>0.146911073888884</v>
      </c>
      <c r="P3">
        <v>0.02</v>
      </c>
      <c r="Q3">
        <v>1.41</v>
      </c>
      <c r="R3">
        <v>0.35</v>
      </c>
      <c r="S3">
        <v>0.5</v>
      </c>
      <c r="T3">
        <v>1.0595429738497899</v>
      </c>
      <c r="U3">
        <v>7.3679325598285201</v>
      </c>
      <c r="V3">
        <v>7.7713696856247502E-2</v>
      </c>
      <c r="W3" s="5">
        <v>3.1327758697864997E-4</v>
      </c>
      <c r="X3">
        <v>46.628218113748503</v>
      </c>
      <c r="Y3">
        <v>11.277993131231399</v>
      </c>
      <c r="AA3">
        <v>8.2341001475929904E-2</v>
      </c>
      <c r="AB3">
        <v>2.3082081333645099E-3</v>
      </c>
      <c r="AC3">
        <v>0.146911073888884</v>
      </c>
      <c r="AD3">
        <v>0.02</v>
      </c>
      <c r="AE3">
        <v>1.41</v>
      </c>
      <c r="AF3">
        <v>0.35</v>
      </c>
      <c r="AG3">
        <v>0.5</v>
      </c>
      <c r="AH3">
        <v>1.0595429738497899</v>
      </c>
      <c r="AI3">
        <v>7.3679325598285201</v>
      </c>
      <c r="AJ3">
        <v>7.7713696856247502E-2</v>
      </c>
      <c r="AK3" s="5">
        <v>3.1327758697864997E-4</v>
      </c>
      <c r="AL3">
        <v>46.628218113748503</v>
      </c>
      <c r="AM3">
        <v>11.277993131231399</v>
      </c>
    </row>
    <row r="4" spans="1:39">
      <c r="F4">
        <v>6</v>
      </c>
      <c r="G4">
        <v>1</v>
      </c>
      <c r="H4" t="s">
        <v>26</v>
      </c>
      <c r="I4">
        <v>20</v>
      </c>
      <c r="J4">
        <v>2</v>
      </c>
      <c r="M4">
        <v>1.6283400062666199E-2</v>
      </c>
      <c r="N4">
        <v>3.0248706985363701E-3</v>
      </c>
      <c r="O4">
        <v>2.5217729500533401E-2</v>
      </c>
      <c r="P4">
        <v>0.02</v>
      </c>
      <c r="Q4">
        <v>1.41</v>
      </c>
      <c r="R4">
        <v>0.35</v>
      </c>
      <c r="S4">
        <v>0.5</v>
      </c>
      <c r="T4">
        <v>1.0595429738497899</v>
      </c>
      <c r="U4">
        <v>7.3679325598285201</v>
      </c>
      <c r="V4">
        <v>1.53683243290277E-2</v>
      </c>
      <c r="W4" s="5">
        <v>4.1054538352163899E-4</v>
      </c>
      <c r="X4">
        <v>9.2209945974166398</v>
      </c>
      <c r="Y4">
        <v>14.779633806779</v>
      </c>
      <c r="AA4">
        <v>1.6283400062666199E-2</v>
      </c>
      <c r="AB4">
        <v>3.0248706985363701E-3</v>
      </c>
      <c r="AC4">
        <v>2.5217729500533401E-2</v>
      </c>
      <c r="AD4">
        <v>0.02</v>
      </c>
      <c r="AE4">
        <v>1.41</v>
      </c>
      <c r="AF4">
        <v>0.35</v>
      </c>
      <c r="AG4">
        <v>0.5</v>
      </c>
      <c r="AH4">
        <v>1.0595429738497899</v>
      </c>
      <c r="AI4">
        <v>7.3679325598285201</v>
      </c>
      <c r="AJ4">
        <v>1.53683243290277E-2</v>
      </c>
      <c r="AK4" s="5">
        <v>4.1054538352163899E-4</v>
      </c>
      <c r="AL4">
        <v>9.2209945974166398</v>
      </c>
      <c r="AM4">
        <v>14.779633806779</v>
      </c>
    </row>
    <row r="5" spans="1:39">
      <c r="F5">
        <v>6</v>
      </c>
      <c r="G5">
        <v>1</v>
      </c>
      <c r="H5" t="s">
        <v>34</v>
      </c>
      <c r="I5">
        <v>11.5</v>
      </c>
      <c r="J5">
        <v>4.5</v>
      </c>
      <c r="M5">
        <v>1.5231275959284999E-2</v>
      </c>
      <c r="N5" s="5">
        <v>3.9199846942735897E-4</v>
      </c>
      <c r="O5">
        <v>0.122507934385423</v>
      </c>
      <c r="P5">
        <v>0.02</v>
      </c>
      <c r="Q5">
        <v>1.41</v>
      </c>
      <c r="R5">
        <v>0.35</v>
      </c>
      <c r="S5">
        <v>0.5</v>
      </c>
      <c r="T5">
        <v>1.0595429738497899</v>
      </c>
      <c r="U5">
        <v>7.3679325598285201</v>
      </c>
      <c r="V5">
        <v>1.43753262823714E-2</v>
      </c>
      <c r="W5" s="5">
        <v>5.3203319417527603E-5</v>
      </c>
      <c r="X5">
        <v>8.6251957694228896</v>
      </c>
      <c r="Y5">
        <v>1.9153194990309901</v>
      </c>
      <c r="AA5">
        <v>1.5231275959284999E-2</v>
      </c>
      <c r="AB5" s="5">
        <v>3.9199846942735897E-4</v>
      </c>
      <c r="AC5">
        <v>0.122507934385423</v>
      </c>
      <c r="AD5">
        <v>0.02</v>
      </c>
      <c r="AE5">
        <v>1.41</v>
      </c>
      <c r="AF5">
        <v>0.35</v>
      </c>
      <c r="AG5">
        <v>0.5</v>
      </c>
      <c r="AH5">
        <v>1.0595429738497899</v>
      </c>
      <c r="AI5">
        <v>7.3679325598285201</v>
      </c>
      <c r="AJ5">
        <v>1.43753262823714E-2</v>
      </c>
      <c r="AK5" s="5">
        <v>5.3203319417527603E-5</v>
      </c>
      <c r="AL5">
        <v>8.6251957694228896</v>
      </c>
      <c r="AM5">
        <v>1.9153194990309901</v>
      </c>
    </row>
    <row r="6" spans="1:39">
      <c r="F6">
        <v>6</v>
      </c>
      <c r="G6">
        <v>0.75</v>
      </c>
      <c r="H6" t="s">
        <v>34</v>
      </c>
      <c r="I6">
        <v>13</v>
      </c>
      <c r="J6">
        <v>2</v>
      </c>
      <c r="M6">
        <v>4.7178688516241303E-2</v>
      </c>
      <c r="N6" s="5">
        <v>-5.8266560953207499E-4</v>
      </c>
      <c r="O6">
        <v>0.198704797871876</v>
      </c>
      <c r="P6">
        <v>0.02</v>
      </c>
      <c r="Q6">
        <v>1.41</v>
      </c>
      <c r="R6">
        <v>0.35</v>
      </c>
      <c r="S6">
        <v>0.5</v>
      </c>
      <c r="T6">
        <v>1.0595429738497899</v>
      </c>
      <c r="U6">
        <v>7.3679325598285201</v>
      </c>
      <c r="V6">
        <v>4.4527395000147997E-2</v>
      </c>
      <c r="W6" s="5">
        <v>-7.9081289737759999E-5</v>
      </c>
      <c r="X6">
        <v>26.716437000088799</v>
      </c>
      <c r="Y6">
        <v>-2.84692643055936</v>
      </c>
      <c r="AA6">
        <v>4.7178688516241303E-2</v>
      </c>
      <c r="AB6" s="5">
        <v>-5.8266560953207499E-4</v>
      </c>
      <c r="AC6">
        <v>0.198704797871876</v>
      </c>
      <c r="AD6">
        <v>0.02</v>
      </c>
      <c r="AE6">
        <v>1.41</v>
      </c>
      <c r="AF6">
        <v>0.35</v>
      </c>
      <c r="AG6">
        <v>0.5</v>
      </c>
      <c r="AH6">
        <v>1.0595429738497899</v>
      </c>
      <c r="AI6">
        <v>7.3679325598285201</v>
      </c>
      <c r="AJ6">
        <v>4.4527395000147997E-2</v>
      </c>
      <c r="AK6" s="5">
        <v>-7.9081289737759999E-5</v>
      </c>
      <c r="AL6">
        <v>26.716437000088799</v>
      </c>
      <c r="AM6">
        <v>-2.84692643055936</v>
      </c>
    </row>
    <row r="7" spans="1:39">
      <c r="F7">
        <v>6</v>
      </c>
      <c r="G7">
        <v>1.5</v>
      </c>
      <c r="H7" t="s">
        <v>34</v>
      </c>
      <c r="I7">
        <v>36</v>
      </c>
      <c r="J7">
        <v>5.5</v>
      </c>
      <c r="M7">
        <v>1.80665452623066E-2</v>
      </c>
      <c r="N7">
        <v>2.0733776448315002E-3</v>
      </c>
      <c r="O7">
        <v>0.67359488397447298</v>
      </c>
      <c r="P7">
        <v>0.02</v>
      </c>
      <c r="Q7">
        <v>1.41</v>
      </c>
      <c r="R7">
        <v>0.35</v>
      </c>
      <c r="S7">
        <v>0.5</v>
      </c>
      <c r="T7">
        <v>1.0595429738497899</v>
      </c>
      <c r="U7">
        <v>7.3679325598285201</v>
      </c>
      <c r="V7">
        <v>1.7051262391616601E-2</v>
      </c>
      <c r="W7" s="5">
        <v>2.8140562199713699E-4</v>
      </c>
      <c r="X7">
        <v>10.230757434969901</v>
      </c>
      <c r="Y7">
        <v>10.1306023918969</v>
      </c>
      <c r="AA7">
        <v>1.80665452623066E-2</v>
      </c>
      <c r="AB7">
        <v>2.0733776448315002E-3</v>
      </c>
      <c r="AC7">
        <v>0.67359488397447298</v>
      </c>
      <c r="AD7">
        <v>0.02</v>
      </c>
      <c r="AE7">
        <v>1.41</v>
      </c>
      <c r="AF7">
        <v>0.35</v>
      </c>
      <c r="AG7">
        <v>0.5</v>
      </c>
      <c r="AH7">
        <v>1.0595429738497899</v>
      </c>
      <c r="AI7">
        <v>7.3679325598285201</v>
      </c>
      <c r="AJ7">
        <v>1.7051262391616601E-2</v>
      </c>
      <c r="AK7" s="5">
        <v>2.8140562199713699E-4</v>
      </c>
      <c r="AL7">
        <v>10.230757434969901</v>
      </c>
      <c r="AM7">
        <v>10.1306023918969</v>
      </c>
    </row>
    <row r="8" spans="1:39">
      <c r="F8">
        <v>6</v>
      </c>
      <c r="G8">
        <v>0.25</v>
      </c>
      <c r="H8" t="s">
        <v>30</v>
      </c>
      <c r="I8">
        <v>15</v>
      </c>
      <c r="J8">
        <v>0</v>
      </c>
      <c r="M8">
        <v>6.1327709329252002E-2</v>
      </c>
      <c r="N8">
        <v>5.8500232695741601E-3</v>
      </c>
      <c r="O8">
        <v>1.3971156854671899E-2</v>
      </c>
      <c r="P8">
        <v>0.02</v>
      </c>
      <c r="Q8">
        <v>1.41</v>
      </c>
      <c r="R8">
        <v>0.35</v>
      </c>
      <c r="S8">
        <v>0.5</v>
      </c>
      <c r="T8">
        <v>1.0595429738497899</v>
      </c>
      <c r="U8">
        <v>7.3679325598285201</v>
      </c>
      <c r="V8">
        <v>5.7881285462562097E-2</v>
      </c>
      <c r="W8" s="5">
        <v>7.9398436699457402E-4</v>
      </c>
      <c r="X8">
        <v>34.728771277537298</v>
      </c>
      <c r="Y8">
        <v>28.583437211804601</v>
      </c>
      <c r="AA8">
        <v>6.1327709329252002E-2</v>
      </c>
      <c r="AB8">
        <v>5.8500232695741601E-3</v>
      </c>
      <c r="AC8">
        <v>1.3971156854671899E-2</v>
      </c>
      <c r="AD8">
        <v>0.02</v>
      </c>
      <c r="AE8">
        <v>1.41</v>
      </c>
      <c r="AF8">
        <v>0.35</v>
      </c>
      <c r="AG8">
        <v>0.5</v>
      </c>
      <c r="AH8">
        <v>1.0595429738497899</v>
      </c>
      <c r="AI8">
        <v>7.3679325598285201</v>
      </c>
      <c r="AJ8">
        <v>5.7881285462562097E-2</v>
      </c>
      <c r="AK8" s="5">
        <v>7.9398436699457402E-4</v>
      </c>
      <c r="AL8">
        <v>34.728771277537298</v>
      </c>
      <c r="AM8">
        <v>28.583437211804601</v>
      </c>
    </row>
    <row r="9" spans="1:39">
      <c r="E9">
        <f>E2-E3</f>
        <v>6</v>
      </c>
      <c r="F9">
        <v>6</v>
      </c>
      <c r="G9">
        <v>1.5</v>
      </c>
      <c r="H9" t="s">
        <v>28</v>
      </c>
      <c r="I9">
        <v>0</v>
      </c>
      <c r="J9">
        <v>1.5</v>
      </c>
    </row>
    <row r="10" spans="1:39">
      <c r="F10">
        <v>6</v>
      </c>
      <c r="G10">
        <v>1.75</v>
      </c>
      <c r="H10" t="s">
        <v>35</v>
      </c>
      <c r="I10">
        <v>1.5</v>
      </c>
      <c r="J10">
        <v>6.5</v>
      </c>
    </row>
    <row r="11" spans="1:39">
      <c r="F11">
        <v>6</v>
      </c>
      <c r="G11">
        <v>0</v>
      </c>
      <c r="H11" t="s">
        <v>44</v>
      </c>
      <c r="I11">
        <v>0</v>
      </c>
      <c r="J11">
        <v>15</v>
      </c>
    </row>
    <row r="12" spans="1:39">
      <c r="F12">
        <v>6</v>
      </c>
      <c r="G12">
        <v>0</v>
      </c>
      <c r="H12" t="s">
        <v>30</v>
      </c>
      <c r="I12">
        <v>0</v>
      </c>
      <c r="J12">
        <v>0</v>
      </c>
    </row>
    <row r="13" spans="1:39">
      <c r="F13">
        <v>6</v>
      </c>
      <c r="G13">
        <v>0</v>
      </c>
      <c r="H13" t="s">
        <v>44</v>
      </c>
      <c r="I13">
        <v>0</v>
      </c>
      <c r="J13">
        <v>15</v>
      </c>
    </row>
    <row r="14" spans="1:39">
      <c r="F14">
        <v>6</v>
      </c>
      <c r="G14">
        <v>0</v>
      </c>
      <c r="H14" t="s">
        <v>44</v>
      </c>
      <c r="I14">
        <v>0</v>
      </c>
      <c r="J14">
        <v>15</v>
      </c>
    </row>
    <row r="15" spans="1:39">
      <c r="F15">
        <v>6</v>
      </c>
      <c r="G15">
        <v>0</v>
      </c>
      <c r="H15" t="s">
        <v>26</v>
      </c>
      <c r="I15">
        <v>0</v>
      </c>
      <c r="J15">
        <v>15</v>
      </c>
    </row>
    <row r="16" spans="1:39">
      <c r="F16">
        <v>6</v>
      </c>
      <c r="G16">
        <v>1.5</v>
      </c>
      <c r="H16" t="s">
        <v>26</v>
      </c>
      <c r="I16">
        <v>4.5</v>
      </c>
      <c r="J16">
        <v>4.5</v>
      </c>
    </row>
    <row r="17" spans="6:10">
      <c r="F17">
        <v>6</v>
      </c>
      <c r="G17">
        <v>1.5</v>
      </c>
      <c r="H17" t="s">
        <v>44</v>
      </c>
      <c r="I17">
        <v>8.5</v>
      </c>
      <c r="J17">
        <v>1</v>
      </c>
    </row>
    <row r="18" spans="6:10">
      <c r="F18">
        <v>6</v>
      </c>
      <c r="G18">
        <v>3.5</v>
      </c>
      <c r="H18" t="s">
        <v>44</v>
      </c>
      <c r="I18">
        <v>0</v>
      </c>
      <c r="J18">
        <v>1</v>
      </c>
    </row>
    <row r="19" spans="6:10">
      <c r="F19">
        <v>6</v>
      </c>
      <c r="G19">
        <v>1.25</v>
      </c>
      <c r="H19" t="s">
        <v>28</v>
      </c>
      <c r="I19">
        <v>0</v>
      </c>
      <c r="J19">
        <v>0.5</v>
      </c>
    </row>
    <row r="20" spans="6:10">
      <c r="G20">
        <v>1.5</v>
      </c>
      <c r="H20" t="s">
        <v>35</v>
      </c>
      <c r="I20">
        <v>1</v>
      </c>
      <c r="J20">
        <v>2</v>
      </c>
    </row>
    <row r="21" spans="6:10">
      <c r="G21">
        <v>0.75</v>
      </c>
      <c r="H21" t="s">
        <v>28</v>
      </c>
      <c r="I21">
        <v>0</v>
      </c>
      <c r="J21">
        <v>2</v>
      </c>
    </row>
    <row r="22" spans="6:10">
      <c r="G22">
        <v>1.5</v>
      </c>
      <c r="H22" t="s">
        <v>26</v>
      </c>
      <c r="I22">
        <v>1</v>
      </c>
      <c r="J22">
        <v>0.5</v>
      </c>
    </row>
    <row r="23" spans="6:10">
      <c r="G23">
        <v>1.75</v>
      </c>
      <c r="H23" t="s">
        <v>28</v>
      </c>
      <c r="I23">
        <v>27</v>
      </c>
      <c r="J23">
        <v>0.5</v>
      </c>
    </row>
    <row r="24" spans="6:10">
      <c r="G24">
        <v>0.5</v>
      </c>
      <c r="H24" t="s">
        <v>28</v>
      </c>
      <c r="I24">
        <v>7</v>
      </c>
      <c r="J24">
        <v>2</v>
      </c>
    </row>
    <row r="25" spans="6:10">
      <c r="G25">
        <v>1</v>
      </c>
      <c r="H25" t="s">
        <v>28</v>
      </c>
      <c r="I25">
        <v>8</v>
      </c>
      <c r="J25">
        <v>1.5</v>
      </c>
    </row>
    <row r="26" spans="6:10">
      <c r="G26">
        <v>0.25</v>
      </c>
      <c r="H26" t="s">
        <v>29</v>
      </c>
      <c r="I26">
        <v>5.5</v>
      </c>
      <c r="J26">
        <v>0.5</v>
      </c>
    </row>
    <row r="27" spans="6:10">
      <c r="G27">
        <v>1</v>
      </c>
      <c r="H27" t="s">
        <v>26</v>
      </c>
      <c r="I27">
        <v>0.5</v>
      </c>
      <c r="J27">
        <v>3</v>
      </c>
    </row>
    <row r="28" spans="6:10">
      <c r="G28">
        <v>0</v>
      </c>
      <c r="H28" t="s">
        <v>26</v>
      </c>
      <c r="I28">
        <v>93</v>
      </c>
      <c r="J28">
        <v>2.5</v>
      </c>
    </row>
    <row r="29" spans="6:10">
      <c r="G29">
        <v>0</v>
      </c>
      <c r="H29" t="s">
        <v>44</v>
      </c>
      <c r="I29">
        <v>32</v>
      </c>
      <c r="J29">
        <v>3</v>
      </c>
    </row>
    <row r="30" spans="6:10">
      <c r="G30">
        <v>0</v>
      </c>
      <c r="H30" t="s">
        <v>26</v>
      </c>
      <c r="I30">
        <v>0</v>
      </c>
      <c r="J30">
        <v>5</v>
      </c>
    </row>
    <row r="31" spans="6:10">
      <c r="G31">
        <v>0</v>
      </c>
      <c r="H31" t="s">
        <v>26</v>
      </c>
      <c r="I31">
        <v>3</v>
      </c>
      <c r="J31">
        <v>4</v>
      </c>
    </row>
    <row r="32" spans="6:10">
      <c r="G32">
        <v>0</v>
      </c>
      <c r="H32" t="s">
        <v>29</v>
      </c>
      <c r="I32">
        <v>11</v>
      </c>
      <c r="J32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F071-9CC7-4A70-A3C7-6F2532E2285D}">
  <dimension ref="A1:AK32"/>
  <sheetViews>
    <sheetView topLeftCell="C1" workbookViewId="0">
      <selection activeCell="E9" sqref="E9"/>
    </sheetView>
  </sheetViews>
  <sheetFormatPr defaultRowHeight="15"/>
  <cols>
    <col min="1" max="1" width="13.7109375" customWidth="1"/>
    <col min="2" max="2" width="10.140625" customWidth="1"/>
    <col min="3" max="3" width="16.5703125" customWidth="1"/>
    <col min="4" max="4" width="19.42578125" customWidth="1"/>
    <col min="5" max="5" width="15" customWidth="1"/>
    <col min="8" max="8" width="13.85546875" customWidth="1"/>
    <col min="12" max="12" width="30.8554687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7">
      <c r="A2">
        <v>7.1</v>
      </c>
      <c r="B2" s="2">
        <v>45910</v>
      </c>
      <c r="C2" t="s">
        <v>63</v>
      </c>
      <c r="D2" t="s">
        <v>64</v>
      </c>
      <c r="E2">
        <v>2560</v>
      </c>
      <c r="F2">
        <v>4</v>
      </c>
      <c r="G2">
        <v>1.5</v>
      </c>
      <c r="H2" t="s">
        <v>28</v>
      </c>
      <c r="I2">
        <v>2</v>
      </c>
      <c r="J2">
        <v>0.5</v>
      </c>
      <c r="K2">
        <v>19</v>
      </c>
      <c r="L2" t="s">
        <v>65</v>
      </c>
      <c r="M2" s="5">
        <v>-4.4863339915296501E-4</v>
      </c>
      <c r="N2">
        <v>2.2607449327070998E-3</v>
      </c>
      <c r="O2">
        <v>0.24400641190043099</v>
      </c>
      <c r="P2">
        <v>0.01</v>
      </c>
      <c r="Q2">
        <v>1.23</v>
      </c>
      <c r="R2">
        <v>0.33</v>
      </c>
      <c r="S2">
        <v>0.48</v>
      </c>
      <c r="T2">
        <v>1.1647538014857199</v>
      </c>
      <c r="U2">
        <v>8.0940561784523695</v>
      </c>
      <c r="V2" s="5">
        <v>-3.8517444508934202E-4</v>
      </c>
      <c r="W2" s="5">
        <v>2.7930927125580698E-4</v>
      </c>
      <c r="X2">
        <v>-0.231104667053605</v>
      </c>
      <c r="Y2">
        <v>10.055133765209</v>
      </c>
      <c r="AA2" s="5"/>
      <c r="AJ2" s="5"/>
      <c r="AK2" s="5"/>
    </row>
    <row r="3" spans="1:37">
      <c r="C3" t="s">
        <v>66</v>
      </c>
      <c r="D3" t="s">
        <v>67</v>
      </c>
      <c r="E3">
        <v>2545</v>
      </c>
      <c r="F3">
        <v>5</v>
      </c>
      <c r="G3">
        <v>1.25</v>
      </c>
      <c r="H3" t="s">
        <v>44</v>
      </c>
      <c r="I3">
        <v>0</v>
      </c>
      <c r="J3">
        <v>0.5</v>
      </c>
      <c r="M3">
        <v>2.8454561980205802E-2</v>
      </c>
      <c r="N3">
        <v>3.6629285786517001E-3</v>
      </c>
      <c r="O3">
        <v>0.25996137378872203</v>
      </c>
      <c r="P3">
        <v>0.01</v>
      </c>
      <c r="Q3">
        <v>1.23</v>
      </c>
      <c r="R3">
        <v>0.33</v>
      </c>
      <c r="S3">
        <v>0.48</v>
      </c>
      <c r="T3">
        <v>1.1647538014857199</v>
      </c>
      <c r="U3">
        <v>8.0940561784523695</v>
      </c>
      <c r="V3">
        <v>2.4429679425738E-2</v>
      </c>
      <c r="W3" s="5">
        <v>4.5254548496994398E-4</v>
      </c>
      <c r="X3">
        <v>14.657807655442801</v>
      </c>
      <c r="Y3">
        <v>16.291637458917901</v>
      </c>
      <c r="AK3" s="5"/>
    </row>
    <row r="4" spans="1:37">
      <c r="F4">
        <v>1</v>
      </c>
      <c r="G4">
        <v>4.5</v>
      </c>
      <c r="H4" t="s">
        <v>28</v>
      </c>
      <c r="I4">
        <v>0.5</v>
      </c>
      <c r="J4">
        <v>0</v>
      </c>
      <c r="M4">
        <v>1.5181878076905801E-2</v>
      </c>
      <c r="N4">
        <v>2.7767280802256998E-3</v>
      </c>
      <c r="O4">
        <v>0.48839779258212002</v>
      </c>
      <c r="P4">
        <v>0.01</v>
      </c>
      <c r="Q4">
        <v>1.23</v>
      </c>
      <c r="R4">
        <v>0.33</v>
      </c>
      <c r="S4">
        <v>0.48</v>
      </c>
      <c r="T4">
        <v>1.1647538014857199</v>
      </c>
      <c r="U4">
        <v>8.0940561784523695</v>
      </c>
      <c r="V4">
        <v>1.30344095529376E-2</v>
      </c>
      <c r="W4" s="5">
        <v>3.4305767331066598E-4</v>
      </c>
      <c r="X4">
        <v>7.8206457317625597</v>
      </c>
      <c r="Y4">
        <v>12.350076239184</v>
      </c>
      <c r="AK4" s="5"/>
    </row>
    <row r="5" spans="1:37">
      <c r="F5">
        <v>4</v>
      </c>
      <c r="G5">
        <v>2.5</v>
      </c>
      <c r="H5" t="s">
        <v>26</v>
      </c>
      <c r="I5">
        <v>3</v>
      </c>
      <c r="J5">
        <v>2</v>
      </c>
      <c r="M5">
        <v>1.6674749857176499E-2</v>
      </c>
      <c r="N5">
        <v>4.1352316304663003E-3</v>
      </c>
      <c r="O5">
        <v>0.77893925400577402</v>
      </c>
      <c r="P5">
        <v>0.01</v>
      </c>
      <c r="Q5">
        <v>1.23</v>
      </c>
      <c r="R5">
        <v>0.33</v>
      </c>
      <c r="S5">
        <v>0.48</v>
      </c>
      <c r="T5">
        <v>1.1647538014857199</v>
      </c>
      <c r="U5">
        <v>8.0940561784523695</v>
      </c>
      <c r="V5">
        <v>1.4316115419333E-2</v>
      </c>
      <c r="W5" s="5">
        <v>5.1089732259023898E-4</v>
      </c>
      <c r="X5">
        <v>8.5896692515998296</v>
      </c>
      <c r="Y5">
        <v>18.3923036132486</v>
      </c>
      <c r="AK5" s="5"/>
    </row>
    <row r="6" spans="1:37">
      <c r="F6">
        <v>4</v>
      </c>
      <c r="G6">
        <v>2.5</v>
      </c>
      <c r="H6" t="s">
        <v>28</v>
      </c>
      <c r="I6">
        <v>4.5</v>
      </c>
      <c r="J6">
        <v>1</v>
      </c>
      <c r="M6">
        <v>4.4197645132494703E-2</v>
      </c>
      <c r="N6">
        <v>5.81753088514801E-3</v>
      </c>
      <c r="O6">
        <v>0.64579295252421598</v>
      </c>
      <c r="P6">
        <v>0.01</v>
      </c>
      <c r="Q6">
        <v>1.23</v>
      </c>
      <c r="R6">
        <v>0.33</v>
      </c>
      <c r="S6">
        <v>0.48</v>
      </c>
      <c r="T6">
        <v>1.1647538014857199</v>
      </c>
      <c r="U6">
        <v>8.0940561784523695</v>
      </c>
      <c r="V6">
        <v>3.7945911896675198E-2</v>
      </c>
      <c r="W6" s="5">
        <v>7.1874110543427802E-4</v>
      </c>
      <c r="X6">
        <v>22.767547138005099</v>
      </c>
      <c r="Y6">
        <v>25.874679795633998</v>
      </c>
      <c r="AK6" s="5"/>
    </row>
    <row r="7" spans="1:37">
      <c r="F7">
        <v>3</v>
      </c>
      <c r="G7">
        <v>1.5</v>
      </c>
      <c r="H7" t="s">
        <v>36</v>
      </c>
      <c r="I7">
        <v>0</v>
      </c>
      <c r="J7">
        <v>0</v>
      </c>
      <c r="M7">
        <v>5.7456471078087198E-3</v>
      </c>
      <c r="N7">
        <v>7.44992248813849E-3</v>
      </c>
      <c r="O7">
        <v>0.74001206990369095</v>
      </c>
      <c r="P7">
        <v>0.01</v>
      </c>
      <c r="Q7">
        <v>1.23</v>
      </c>
      <c r="R7">
        <v>0.33</v>
      </c>
      <c r="S7">
        <v>0.48</v>
      </c>
      <c r="T7">
        <v>1.1647538014857199</v>
      </c>
      <c r="U7">
        <v>8.0940561784523695</v>
      </c>
      <c r="V7">
        <v>4.9329284012464801E-3</v>
      </c>
      <c r="W7" s="5">
        <v>9.2041892518257096E-4</v>
      </c>
      <c r="X7">
        <v>2.9597570407478901</v>
      </c>
      <c r="Y7">
        <v>33.135081306572502</v>
      </c>
      <c r="AK7" s="5"/>
    </row>
    <row r="8" spans="1:37">
      <c r="F8">
        <v>5</v>
      </c>
      <c r="G8">
        <v>2.75</v>
      </c>
      <c r="H8" t="s">
        <v>28</v>
      </c>
      <c r="I8">
        <v>5.5</v>
      </c>
      <c r="J8">
        <v>4</v>
      </c>
      <c r="M8">
        <v>2.4039954616070201E-2</v>
      </c>
      <c r="N8">
        <v>2.8491401439866499E-3</v>
      </c>
      <c r="O8">
        <v>0.86643713938213895</v>
      </c>
      <c r="P8">
        <v>0.01</v>
      </c>
      <c r="Q8">
        <v>1.23</v>
      </c>
      <c r="R8">
        <v>0.33</v>
      </c>
      <c r="S8">
        <v>0.48</v>
      </c>
      <c r="T8">
        <v>1.1647538014857199</v>
      </c>
      <c r="U8">
        <v>8.0940561784523695</v>
      </c>
      <c r="V8">
        <v>2.06395159092038E-2</v>
      </c>
      <c r="W8" s="5">
        <v>3.5200399912858302E-4</v>
      </c>
      <c r="X8">
        <v>12.383709545522301</v>
      </c>
      <c r="Y8">
        <v>12.6721439686289</v>
      </c>
      <c r="AK8" s="5"/>
    </row>
    <row r="9" spans="1:37">
      <c r="E9">
        <f>E2-E3</f>
        <v>15</v>
      </c>
      <c r="F9">
        <v>4</v>
      </c>
      <c r="G9">
        <v>2</v>
      </c>
      <c r="H9" t="s">
        <v>26</v>
      </c>
      <c r="I9">
        <v>1.5</v>
      </c>
      <c r="J9">
        <v>1</v>
      </c>
      <c r="M9">
        <v>3.1688657442302197E-2</v>
      </c>
      <c r="N9">
        <v>3.4812758484473101E-3</v>
      </c>
      <c r="O9">
        <v>0.65469256297234302</v>
      </c>
      <c r="P9">
        <v>0.01</v>
      </c>
      <c r="Q9">
        <v>1.23</v>
      </c>
      <c r="R9">
        <v>0.33</v>
      </c>
      <c r="S9">
        <v>0.48</v>
      </c>
      <c r="T9">
        <v>1.1647538014857199</v>
      </c>
      <c r="U9">
        <v>8.0940561784523695</v>
      </c>
      <c r="V9">
        <v>2.7206313816603302E-2</v>
      </c>
      <c r="W9" s="5">
        <v>4.3010275339019802E-4</v>
      </c>
      <c r="X9">
        <v>16.323788289962</v>
      </c>
      <c r="Y9">
        <v>15.483699122047099</v>
      </c>
      <c r="AK9" s="5"/>
    </row>
    <row r="10" spans="1:37">
      <c r="F10">
        <v>4</v>
      </c>
      <c r="G10">
        <v>4.5</v>
      </c>
      <c r="H10" t="s">
        <v>28</v>
      </c>
      <c r="I10">
        <v>1.5</v>
      </c>
      <c r="J10">
        <v>1</v>
      </c>
    </row>
    <row r="11" spans="1:37">
      <c r="F11">
        <v>1</v>
      </c>
      <c r="G11">
        <v>3.5</v>
      </c>
      <c r="H11" t="s">
        <v>28</v>
      </c>
      <c r="I11">
        <v>1</v>
      </c>
      <c r="J11">
        <v>0</v>
      </c>
    </row>
    <row r="12" spans="1:37">
      <c r="F12">
        <v>4</v>
      </c>
      <c r="G12">
        <v>2</v>
      </c>
      <c r="H12" t="s">
        <v>26</v>
      </c>
      <c r="I12">
        <v>3</v>
      </c>
      <c r="J12">
        <v>0.5</v>
      </c>
    </row>
    <row r="13" spans="1:37">
      <c r="F13">
        <v>4</v>
      </c>
      <c r="G13">
        <v>3.25</v>
      </c>
      <c r="H13" t="s">
        <v>26</v>
      </c>
      <c r="I13">
        <v>3.5</v>
      </c>
      <c r="J13">
        <v>1.5</v>
      </c>
    </row>
    <row r="14" spans="1:37">
      <c r="F14">
        <v>4</v>
      </c>
      <c r="G14">
        <v>2</v>
      </c>
      <c r="H14" t="s">
        <v>43</v>
      </c>
      <c r="I14">
        <v>0</v>
      </c>
      <c r="J14">
        <v>0</v>
      </c>
    </row>
    <row r="15" spans="1:37">
      <c r="F15">
        <v>1</v>
      </c>
      <c r="G15">
        <v>1.75</v>
      </c>
      <c r="H15" t="s">
        <v>43</v>
      </c>
      <c r="I15">
        <v>0</v>
      </c>
      <c r="J15">
        <v>0</v>
      </c>
    </row>
    <row r="16" spans="1:37">
      <c r="F16">
        <v>5</v>
      </c>
      <c r="G16">
        <v>1.25</v>
      </c>
      <c r="H16" t="s">
        <v>28</v>
      </c>
      <c r="I16">
        <v>1</v>
      </c>
      <c r="J16">
        <v>1</v>
      </c>
    </row>
    <row r="17" spans="6:10">
      <c r="F17">
        <v>3</v>
      </c>
      <c r="G17">
        <v>1.5</v>
      </c>
      <c r="H17" t="s">
        <v>35</v>
      </c>
      <c r="I17">
        <v>0</v>
      </c>
      <c r="J17">
        <v>1.5</v>
      </c>
    </row>
    <row r="18" spans="6:10">
      <c r="F18">
        <v>4</v>
      </c>
      <c r="G18">
        <v>2.75</v>
      </c>
      <c r="H18" t="s">
        <v>44</v>
      </c>
      <c r="I18">
        <v>0</v>
      </c>
      <c r="J18">
        <v>2.5</v>
      </c>
    </row>
    <row r="19" spans="6:10">
      <c r="F19">
        <v>4</v>
      </c>
      <c r="G19">
        <v>2</v>
      </c>
      <c r="H19" t="s">
        <v>43</v>
      </c>
      <c r="I19">
        <v>0</v>
      </c>
      <c r="J19">
        <v>0</v>
      </c>
    </row>
    <row r="20" spans="6:10">
      <c r="G20">
        <v>3</v>
      </c>
      <c r="H20" t="s">
        <v>28</v>
      </c>
      <c r="I20">
        <v>1</v>
      </c>
      <c r="J20">
        <v>1</v>
      </c>
    </row>
    <row r="21" spans="6:10">
      <c r="G21">
        <v>3.5</v>
      </c>
      <c r="H21" t="s">
        <v>28</v>
      </c>
      <c r="I21">
        <v>0.5</v>
      </c>
      <c r="J21">
        <v>1</v>
      </c>
    </row>
    <row r="22" spans="6:10">
      <c r="G22">
        <v>2</v>
      </c>
      <c r="H22" t="s">
        <v>44</v>
      </c>
      <c r="I22">
        <v>0</v>
      </c>
      <c r="J22">
        <v>1.5</v>
      </c>
    </row>
    <row r="23" spans="6:10">
      <c r="G23">
        <v>1</v>
      </c>
      <c r="H23" t="s">
        <v>30</v>
      </c>
      <c r="I23">
        <v>0</v>
      </c>
      <c r="J23">
        <v>0</v>
      </c>
    </row>
    <row r="24" spans="6:10">
      <c r="G24">
        <v>2</v>
      </c>
      <c r="H24" t="s">
        <v>44</v>
      </c>
      <c r="I24">
        <v>0</v>
      </c>
      <c r="J24">
        <v>1</v>
      </c>
    </row>
    <row r="25" spans="6:10">
      <c r="G25">
        <v>1.25</v>
      </c>
      <c r="H25" t="s">
        <v>44</v>
      </c>
      <c r="I25">
        <v>0</v>
      </c>
      <c r="J25">
        <v>1</v>
      </c>
    </row>
    <row r="26" spans="6:10">
      <c r="G26">
        <v>1.5</v>
      </c>
      <c r="H26" t="s">
        <v>43</v>
      </c>
      <c r="I26">
        <v>0</v>
      </c>
      <c r="J26">
        <v>0</v>
      </c>
    </row>
    <row r="27" spans="6:10">
      <c r="G27">
        <v>1.5</v>
      </c>
      <c r="H27" t="s">
        <v>43</v>
      </c>
      <c r="I27">
        <v>0</v>
      </c>
      <c r="J27">
        <v>0</v>
      </c>
    </row>
    <row r="28" spans="6:10">
      <c r="G28">
        <v>2</v>
      </c>
      <c r="H28" t="s">
        <v>36</v>
      </c>
      <c r="I28">
        <v>0</v>
      </c>
      <c r="J28">
        <v>1.5</v>
      </c>
    </row>
    <row r="29" spans="6:10">
      <c r="G29">
        <v>4.5</v>
      </c>
      <c r="H29" t="s">
        <v>30</v>
      </c>
      <c r="I29">
        <v>0</v>
      </c>
      <c r="J29">
        <v>0</v>
      </c>
    </row>
    <row r="30" spans="6:10">
      <c r="G30">
        <v>2.5</v>
      </c>
      <c r="H30" t="s">
        <v>43</v>
      </c>
      <c r="I30">
        <v>0</v>
      </c>
      <c r="J30">
        <v>0</v>
      </c>
    </row>
    <row r="31" spans="6:10">
      <c r="G31">
        <v>0</v>
      </c>
      <c r="H31" t="s">
        <v>28</v>
      </c>
      <c r="I31">
        <v>1.5</v>
      </c>
      <c r="J31">
        <v>0.5</v>
      </c>
    </row>
    <row r="32" spans="6:10">
      <c r="G32">
        <v>1.75</v>
      </c>
      <c r="H32" t="s">
        <v>44</v>
      </c>
      <c r="I32">
        <v>0</v>
      </c>
      <c r="J32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E801-7F5F-4F6F-9911-B96DAF04B074}">
  <dimension ref="A1:AK33"/>
  <sheetViews>
    <sheetView topLeftCell="I1" workbookViewId="0">
      <selection activeCell="Q11" sqref="P11:Q15"/>
    </sheetView>
  </sheetViews>
  <sheetFormatPr defaultRowHeight="15"/>
  <cols>
    <col min="3" max="4" width="10.140625" bestFit="1" customWidth="1"/>
    <col min="12" max="12" width="25.28515625" bestFit="1" customWidth="1"/>
    <col min="21" max="21" width="11.85546875" customWidth="1"/>
    <col min="22" max="22" width="12.42578125" customWidth="1"/>
    <col min="23" max="23" width="10.42578125" customWidth="1"/>
    <col min="24" max="24" width="17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7">
      <c r="A2" t="s">
        <v>68</v>
      </c>
      <c r="B2" s="2">
        <v>45910</v>
      </c>
      <c r="C2">
        <v>42.542943000000001</v>
      </c>
      <c r="D2">
        <v>74.641087999999996</v>
      </c>
      <c r="E2">
        <v>2821.8</v>
      </c>
      <c r="F2">
        <v>5</v>
      </c>
      <c r="G2">
        <v>1.5</v>
      </c>
      <c r="H2" t="s">
        <v>44</v>
      </c>
      <c r="I2">
        <v>0</v>
      </c>
      <c r="J2">
        <v>3</v>
      </c>
      <c r="K2">
        <v>12</v>
      </c>
      <c r="L2" t="s">
        <v>69</v>
      </c>
      <c r="M2">
        <v>3.3373485043674801E-2</v>
      </c>
      <c r="N2">
        <v>3.76731459437606E-3</v>
      </c>
      <c r="O2">
        <v>0.54256555324469802</v>
      </c>
      <c r="P2">
        <v>1.9E-2</v>
      </c>
      <c r="Q2">
        <v>1.31</v>
      </c>
      <c r="R2">
        <v>0.15</v>
      </c>
      <c r="S2">
        <v>0.3</v>
      </c>
      <c r="T2">
        <v>1.0722525821387101</v>
      </c>
      <c r="U2">
        <v>6.1090198565416003</v>
      </c>
      <c r="V2">
        <v>3.1124648799733399E-2</v>
      </c>
      <c r="W2" s="5">
        <v>6.1668069229501297E-4</v>
      </c>
      <c r="X2">
        <v>18.674789279839999</v>
      </c>
      <c r="Y2">
        <v>22.2005049226205</v>
      </c>
      <c r="AK2" s="5"/>
    </row>
    <row r="3" spans="1:37">
      <c r="C3">
        <v>42.523333000000001</v>
      </c>
      <c r="D3">
        <v>74.478055999999995</v>
      </c>
      <c r="E3">
        <v>2806.2</v>
      </c>
      <c r="F3">
        <v>5</v>
      </c>
      <c r="G3">
        <v>1.5</v>
      </c>
      <c r="H3" t="s">
        <v>44</v>
      </c>
      <c r="I3">
        <v>0</v>
      </c>
      <c r="J3">
        <v>2.5</v>
      </c>
      <c r="M3">
        <v>4.0227564620570297E-2</v>
      </c>
      <c r="N3">
        <v>3.1204874722592399E-3</v>
      </c>
      <c r="O3">
        <v>0.42625482740390302</v>
      </c>
      <c r="P3">
        <v>1.9E-2</v>
      </c>
      <c r="Q3">
        <v>1.31</v>
      </c>
      <c r="R3">
        <v>0.15</v>
      </c>
      <c r="S3">
        <v>0.3</v>
      </c>
      <c r="T3">
        <v>1.0722525821387101</v>
      </c>
      <c r="U3">
        <v>6.1090198565416003</v>
      </c>
      <c r="V3">
        <v>3.75168736272311E-2</v>
      </c>
      <c r="W3" s="5">
        <v>5.1080002120434996E-4</v>
      </c>
      <c r="X3">
        <v>22.5101241763386</v>
      </c>
      <c r="Y3">
        <v>18.388800763356599</v>
      </c>
      <c r="AK3" s="5"/>
    </row>
    <row r="4" spans="1:37">
      <c r="F4">
        <v>5</v>
      </c>
      <c r="G4">
        <v>2.75</v>
      </c>
      <c r="H4" t="s">
        <v>28</v>
      </c>
      <c r="I4">
        <v>4</v>
      </c>
      <c r="J4">
        <v>3</v>
      </c>
      <c r="M4">
        <v>2.5184947548998499E-2</v>
      </c>
      <c r="N4">
        <v>2.9267301552337098E-3</v>
      </c>
      <c r="O4">
        <v>0.69421818778411204</v>
      </c>
      <c r="P4">
        <v>1.9E-2</v>
      </c>
      <c r="Q4">
        <v>1.31</v>
      </c>
      <c r="R4">
        <v>0.15</v>
      </c>
      <c r="S4">
        <v>0.3</v>
      </c>
      <c r="T4">
        <v>1.0722525821387101</v>
      </c>
      <c r="U4">
        <v>6.1090198565416003</v>
      </c>
      <c r="V4">
        <v>2.3487887059935701E-2</v>
      </c>
      <c r="W4" s="5">
        <v>4.7908342483119197E-4</v>
      </c>
      <c r="X4">
        <v>14.0927322359614</v>
      </c>
      <c r="Y4">
        <v>17.247003293922901</v>
      </c>
      <c r="AK4" s="5"/>
    </row>
    <row r="5" spans="1:37">
      <c r="F5">
        <v>5</v>
      </c>
      <c r="G5">
        <v>2.25</v>
      </c>
      <c r="H5" t="s">
        <v>26</v>
      </c>
      <c r="I5">
        <v>3.5</v>
      </c>
      <c r="J5">
        <v>5</v>
      </c>
      <c r="M5">
        <v>3.34778917636359E-2</v>
      </c>
      <c r="N5">
        <v>2.2558882100599401E-3</v>
      </c>
      <c r="O5">
        <v>0.25499518571427798</v>
      </c>
      <c r="P5">
        <v>1.9E-2</v>
      </c>
      <c r="Q5">
        <v>1.31</v>
      </c>
      <c r="R5">
        <v>0.15</v>
      </c>
      <c r="S5">
        <v>0.3</v>
      </c>
      <c r="T5">
        <v>1.0722525821387101</v>
      </c>
      <c r="U5">
        <v>6.1090198565416003</v>
      </c>
      <c r="V5">
        <v>3.1222020185636599E-2</v>
      </c>
      <c r="W5" s="5">
        <v>3.6927171019820998E-4</v>
      </c>
      <c r="X5">
        <v>18.733212111381899</v>
      </c>
      <c r="Y5">
        <v>13.2937815671355</v>
      </c>
      <c r="AK5" s="5"/>
    </row>
    <row r="6" spans="1:37">
      <c r="F6">
        <v>6</v>
      </c>
      <c r="G6">
        <v>2.75</v>
      </c>
      <c r="H6" t="s">
        <v>28</v>
      </c>
      <c r="I6">
        <v>2.5</v>
      </c>
      <c r="J6">
        <v>2.5</v>
      </c>
      <c r="M6">
        <v>3.2174029283837197E-2</v>
      </c>
      <c r="N6">
        <v>3.0323819550028301E-3</v>
      </c>
      <c r="O6">
        <v>0.56950336204156105</v>
      </c>
      <c r="P6">
        <v>1.9E-2</v>
      </c>
      <c r="Q6">
        <v>1.31</v>
      </c>
      <c r="R6">
        <v>0.15</v>
      </c>
      <c r="S6">
        <v>0.3</v>
      </c>
      <c r="T6">
        <v>1.0722525821387101</v>
      </c>
      <c r="U6">
        <v>6.1090198565416003</v>
      </c>
      <c r="V6">
        <v>3.0006017070775399E-2</v>
      </c>
      <c r="W6" s="5">
        <v>4.9637781939040903E-4</v>
      </c>
      <c r="X6">
        <v>18.0036102424652</v>
      </c>
      <c r="Y6">
        <v>17.869601498054699</v>
      </c>
      <c r="AK6" s="5"/>
    </row>
    <row r="7" spans="1:37">
      <c r="F7">
        <v>3</v>
      </c>
      <c r="G7">
        <v>2.25</v>
      </c>
      <c r="H7" t="s">
        <v>26</v>
      </c>
      <c r="I7">
        <v>2</v>
      </c>
      <c r="J7">
        <v>1</v>
      </c>
      <c r="M7">
        <v>5.60031398934265E-2</v>
      </c>
      <c r="N7">
        <v>4.94086224162185E-3</v>
      </c>
      <c r="O7">
        <v>0.56046166525812802</v>
      </c>
      <c r="P7">
        <v>1.9E-2</v>
      </c>
      <c r="Q7">
        <v>1.31</v>
      </c>
      <c r="R7">
        <v>0.15</v>
      </c>
      <c r="S7">
        <v>0.3</v>
      </c>
      <c r="T7">
        <v>1.0722525821387101</v>
      </c>
      <c r="U7">
        <v>6.1090198565416003</v>
      </c>
      <c r="V7">
        <v>5.2229428799063997E-2</v>
      </c>
      <c r="W7" s="5">
        <v>8.0878149975746605E-4</v>
      </c>
      <c r="X7">
        <v>31.3376572794384</v>
      </c>
      <c r="Y7">
        <v>29.1161339912687</v>
      </c>
      <c r="AK7" s="5"/>
    </row>
    <row r="8" spans="1:37">
      <c r="F8">
        <v>4</v>
      </c>
      <c r="G8">
        <v>2.25</v>
      </c>
      <c r="H8" t="s">
        <v>36</v>
      </c>
      <c r="I8">
        <v>0</v>
      </c>
      <c r="J8">
        <v>0</v>
      </c>
      <c r="M8">
        <v>5.3239521645934602E-3</v>
      </c>
      <c r="N8">
        <v>2.7486839659621601E-3</v>
      </c>
      <c r="O8">
        <v>0.57469559878022403</v>
      </c>
      <c r="P8">
        <v>1.9E-2</v>
      </c>
      <c r="Q8">
        <v>1.31</v>
      </c>
      <c r="R8">
        <v>0.15</v>
      </c>
      <c r="S8">
        <v>0.3</v>
      </c>
      <c r="T8">
        <v>1.0722525821387101</v>
      </c>
      <c r="U8">
        <v>6.1090198565416003</v>
      </c>
      <c r="V8">
        <v>4.9652033982275998E-3</v>
      </c>
      <c r="W8" s="5">
        <v>4.4993862035312302E-4</v>
      </c>
      <c r="X8">
        <v>2.97912203893656</v>
      </c>
      <c r="Y8">
        <v>16.197790332712401</v>
      </c>
      <c r="AK8" s="5"/>
    </row>
    <row r="9" spans="1:37">
      <c r="E9">
        <f>E2-E3</f>
        <v>15.600000000000364</v>
      </c>
      <c r="F9">
        <v>5</v>
      </c>
      <c r="G9">
        <v>1.75</v>
      </c>
      <c r="H9" t="s">
        <v>28</v>
      </c>
      <c r="I9">
        <v>5</v>
      </c>
      <c r="J9">
        <v>3</v>
      </c>
    </row>
    <row r="10" spans="1:37">
      <c r="F10">
        <v>4</v>
      </c>
      <c r="G10">
        <v>1.25</v>
      </c>
      <c r="H10" t="s">
        <v>34</v>
      </c>
      <c r="I10">
        <v>17</v>
      </c>
      <c r="J10">
        <v>1</v>
      </c>
    </row>
    <row r="11" spans="1:37">
      <c r="F11">
        <v>5</v>
      </c>
      <c r="G11">
        <v>1.75</v>
      </c>
      <c r="H11" t="s">
        <v>26</v>
      </c>
      <c r="I11">
        <v>3</v>
      </c>
      <c r="J11">
        <v>1</v>
      </c>
    </row>
    <row r="12" spans="1:37">
      <c r="F12">
        <v>4</v>
      </c>
      <c r="G12">
        <v>1</v>
      </c>
      <c r="H12" t="s">
        <v>26</v>
      </c>
      <c r="I12">
        <v>5</v>
      </c>
      <c r="J12">
        <v>0.5</v>
      </c>
    </row>
    <row r="13" spans="1:37">
      <c r="F13">
        <v>1</v>
      </c>
      <c r="G13">
        <v>1.5</v>
      </c>
      <c r="H13" t="s">
        <v>28</v>
      </c>
      <c r="I13">
        <v>4.5</v>
      </c>
      <c r="J13">
        <v>2</v>
      </c>
    </row>
    <row r="14" spans="1:37">
      <c r="F14">
        <v>4</v>
      </c>
      <c r="G14">
        <v>1</v>
      </c>
      <c r="H14" t="s">
        <v>28</v>
      </c>
      <c r="I14">
        <v>7</v>
      </c>
      <c r="J14">
        <v>1</v>
      </c>
    </row>
    <row r="15" spans="1:37">
      <c r="F15">
        <v>4</v>
      </c>
      <c r="G15">
        <v>1</v>
      </c>
      <c r="H15" t="s">
        <v>30</v>
      </c>
      <c r="I15">
        <v>0</v>
      </c>
      <c r="J15">
        <v>0</v>
      </c>
    </row>
    <row r="16" spans="1:37">
      <c r="F16">
        <v>3</v>
      </c>
      <c r="G16">
        <v>1.25</v>
      </c>
      <c r="H16" t="s">
        <v>30</v>
      </c>
      <c r="I16">
        <v>0</v>
      </c>
      <c r="J16">
        <v>0</v>
      </c>
    </row>
    <row r="17" spans="6:10">
      <c r="F17">
        <v>4</v>
      </c>
      <c r="G17">
        <v>1.25</v>
      </c>
      <c r="H17" t="s">
        <v>26</v>
      </c>
      <c r="I17">
        <v>3</v>
      </c>
      <c r="J17">
        <v>0.5</v>
      </c>
    </row>
    <row r="18" spans="6:10">
      <c r="F18">
        <v>5</v>
      </c>
      <c r="G18">
        <v>0.25</v>
      </c>
      <c r="H18" t="s">
        <v>43</v>
      </c>
      <c r="I18">
        <v>0</v>
      </c>
      <c r="J18">
        <v>0</v>
      </c>
    </row>
    <row r="19" spans="6:10">
      <c r="F19">
        <v>6</v>
      </c>
      <c r="G19">
        <v>1.5</v>
      </c>
      <c r="H19" t="s">
        <v>30</v>
      </c>
      <c r="I19">
        <v>0</v>
      </c>
      <c r="J19">
        <v>0</v>
      </c>
    </row>
    <row r="20" spans="6:10">
      <c r="G20">
        <v>0.75</v>
      </c>
      <c r="H20" t="s">
        <v>30</v>
      </c>
      <c r="I20">
        <v>0</v>
      </c>
      <c r="J20">
        <v>0</v>
      </c>
    </row>
    <row r="21" spans="6:10">
      <c r="G21">
        <v>1</v>
      </c>
      <c r="H21" t="s">
        <v>26</v>
      </c>
      <c r="I21">
        <v>0</v>
      </c>
      <c r="J21">
        <v>0.5</v>
      </c>
    </row>
    <row r="22" spans="6:10">
      <c r="G22">
        <v>2</v>
      </c>
      <c r="H22" t="s">
        <v>30</v>
      </c>
      <c r="I22">
        <v>0</v>
      </c>
      <c r="J22">
        <v>0</v>
      </c>
    </row>
    <row r="23" spans="6:10">
      <c r="G23">
        <v>0.75</v>
      </c>
      <c r="H23" t="s">
        <v>26</v>
      </c>
      <c r="I23">
        <v>9</v>
      </c>
      <c r="J23">
        <v>2</v>
      </c>
    </row>
    <row r="24" spans="6:10">
      <c r="G24">
        <v>2.75</v>
      </c>
      <c r="H24" t="s">
        <v>26</v>
      </c>
      <c r="I24">
        <v>6</v>
      </c>
      <c r="J24">
        <v>0</v>
      </c>
    </row>
    <row r="25" spans="6:10">
      <c r="G25">
        <v>2</v>
      </c>
      <c r="H25" t="s">
        <v>36</v>
      </c>
      <c r="I25">
        <v>0</v>
      </c>
      <c r="J25">
        <v>1</v>
      </c>
    </row>
    <row r="26" spans="6:10">
      <c r="G26">
        <v>0.75</v>
      </c>
      <c r="H26" t="s">
        <v>30</v>
      </c>
      <c r="I26">
        <v>0</v>
      </c>
      <c r="J26">
        <v>0</v>
      </c>
    </row>
    <row r="27" spans="6:10">
      <c r="G27">
        <v>0.75</v>
      </c>
      <c r="H27" t="s">
        <v>35</v>
      </c>
      <c r="I27">
        <v>0</v>
      </c>
      <c r="J27">
        <v>0</v>
      </c>
    </row>
    <row r="28" spans="6:10">
      <c r="G28">
        <v>0.5</v>
      </c>
      <c r="H28" t="s">
        <v>28</v>
      </c>
      <c r="I28">
        <v>3</v>
      </c>
      <c r="J28">
        <v>2</v>
      </c>
    </row>
    <row r="29" spans="6:10">
      <c r="G29">
        <v>1.25</v>
      </c>
      <c r="H29" t="s">
        <v>26</v>
      </c>
      <c r="I29">
        <v>8</v>
      </c>
      <c r="J29">
        <v>1</v>
      </c>
    </row>
    <row r="30" spans="6:10">
      <c r="G30">
        <v>0.75</v>
      </c>
      <c r="H30" t="s">
        <v>44</v>
      </c>
      <c r="I30">
        <v>0</v>
      </c>
      <c r="J30">
        <v>1</v>
      </c>
    </row>
    <row r="31" spans="6:10">
      <c r="G31">
        <v>0.75</v>
      </c>
      <c r="H31" t="s">
        <v>44</v>
      </c>
      <c r="I31">
        <v>0</v>
      </c>
      <c r="J31">
        <v>5</v>
      </c>
    </row>
    <row r="32" spans="6:10">
      <c r="G32">
        <v>0.25</v>
      </c>
    </row>
    <row r="33" spans="7:7">
      <c r="G33">
        <v>1.25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EE09-2FC3-4608-A87F-BABC3C66E396}">
  <dimension ref="A1:CJ17"/>
  <sheetViews>
    <sheetView topLeftCell="BW1" workbookViewId="0">
      <selection activeCell="CG18" sqref="CG18"/>
    </sheetView>
  </sheetViews>
  <sheetFormatPr defaultRowHeight="15"/>
  <cols>
    <col min="1" max="1" width="11" bestFit="1" customWidth="1"/>
    <col min="2" max="2" width="9.28515625" bestFit="1" customWidth="1"/>
    <col min="3" max="3" width="16.28515625" customWidth="1"/>
    <col min="4" max="4" width="20.42578125" bestFit="1" customWidth="1"/>
    <col min="5" max="5" width="20.140625" bestFit="1" customWidth="1"/>
    <col min="6" max="6" width="17.28515625" bestFit="1" customWidth="1"/>
    <col min="7" max="7" width="16.7109375" bestFit="1" customWidth="1"/>
    <col min="8" max="8" width="19.42578125" bestFit="1" customWidth="1"/>
    <col min="9" max="9" width="21.5703125" bestFit="1" customWidth="1"/>
    <col min="10" max="10" width="21.140625" bestFit="1" customWidth="1"/>
    <col min="11" max="11" width="18.28515625" bestFit="1" customWidth="1"/>
    <col min="12" max="12" width="17.85546875" bestFit="1" customWidth="1"/>
    <col min="13" max="13" width="20.5703125" bestFit="1" customWidth="1"/>
    <col min="14" max="14" width="24.85546875" bestFit="1" customWidth="1"/>
    <col min="15" max="15" width="24.5703125" bestFit="1" customWidth="1"/>
    <col min="16" max="16" width="21.7109375" bestFit="1" customWidth="1"/>
    <col min="17" max="17" width="21.140625" bestFit="1" customWidth="1"/>
    <col min="18" max="18" width="24" bestFit="1" customWidth="1"/>
    <col min="19" max="19" width="24.28515625" bestFit="1" customWidth="1"/>
    <col min="20" max="20" width="23.85546875" bestFit="1" customWidth="1"/>
    <col min="21" max="21" width="21" bestFit="1" customWidth="1"/>
    <col min="22" max="22" width="20.5703125" bestFit="1" customWidth="1"/>
    <col min="23" max="23" width="23.28515625" bestFit="1" customWidth="1"/>
    <col min="24" max="24" width="12.140625" bestFit="1" customWidth="1"/>
    <col min="25" max="25" width="11.5703125" customWidth="1"/>
    <col min="26" max="26" width="25" bestFit="1" customWidth="1"/>
    <col min="27" max="27" width="24.7109375" bestFit="1" customWidth="1"/>
    <col min="28" max="28" width="21.85546875" bestFit="1" customWidth="1"/>
    <col min="29" max="29" width="21.28515625" bestFit="1" customWidth="1"/>
    <col min="30" max="30" width="24" bestFit="1" customWidth="1"/>
    <col min="31" max="31" width="12.28515625" bestFit="1" customWidth="1"/>
    <col min="32" max="32" width="18.28515625" bestFit="1" customWidth="1"/>
    <col min="33" max="33" width="15.42578125" bestFit="1" customWidth="1"/>
    <col min="34" max="34" width="15" bestFit="1" customWidth="1"/>
    <col min="35" max="35" width="11" customWidth="1"/>
    <col min="37" max="37" width="29.28515625" customWidth="1"/>
    <col min="38" max="38" width="20.140625" customWidth="1"/>
    <col min="39" max="39" width="13.140625" customWidth="1"/>
    <col min="40" max="40" width="18.5703125" customWidth="1"/>
    <col min="41" max="41" width="19.28515625" bestFit="1" customWidth="1"/>
    <col min="45" max="45" width="21.42578125" bestFit="1" customWidth="1"/>
    <col min="46" max="46" width="21.28515625" bestFit="1" customWidth="1"/>
    <col min="48" max="48" width="22.28515625" bestFit="1" customWidth="1"/>
    <col min="51" max="51" width="23.42578125" bestFit="1" customWidth="1"/>
    <col min="52" max="52" width="30.42578125" customWidth="1"/>
    <col min="53" max="53" width="25.85546875" customWidth="1"/>
    <col min="54" max="54" width="25.7109375" customWidth="1"/>
    <col min="57" max="57" width="39.85546875" customWidth="1"/>
    <col min="58" max="58" width="25.5703125" customWidth="1"/>
    <col min="59" max="59" width="42" customWidth="1"/>
    <col min="64" max="64" width="24.42578125" customWidth="1"/>
    <col min="70" max="70" width="26.85546875" customWidth="1"/>
    <col min="71" max="71" width="46.140625" customWidth="1"/>
    <col min="72" max="72" width="26.140625" customWidth="1"/>
    <col min="73" max="73" width="27.42578125" customWidth="1"/>
    <col min="74" max="74" width="27.85546875" customWidth="1"/>
    <col min="75" max="75" width="25.7109375" customWidth="1"/>
  </cols>
  <sheetData>
    <row r="1" spans="1:88" s="13" customFormat="1" ht="29.25">
      <c r="A1" s="10" t="s">
        <v>70</v>
      </c>
      <c r="B1" s="10" t="s">
        <v>71</v>
      </c>
      <c r="C1" s="74" t="s">
        <v>72</v>
      </c>
      <c r="D1" s="32" t="s">
        <v>73</v>
      </c>
      <c r="E1" s="13" t="s">
        <v>74</v>
      </c>
      <c r="F1" s="13" t="s">
        <v>75</v>
      </c>
      <c r="G1" s="13" t="s">
        <v>76</v>
      </c>
      <c r="H1" s="13" t="s">
        <v>77</v>
      </c>
      <c r="I1" s="32" t="s">
        <v>78</v>
      </c>
      <c r="J1" s="13" t="s">
        <v>79</v>
      </c>
      <c r="K1" s="13" t="s">
        <v>80</v>
      </c>
      <c r="L1" s="13" t="s">
        <v>81</v>
      </c>
      <c r="M1" s="13" t="s">
        <v>82</v>
      </c>
      <c r="N1" s="32" t="s">
        <v>83</v>
      </c>
      <c r="O1" s="13" t="s">
        <v>84</v>
      </c>
      <c r="P1" s="13" t="s">
        <v>85</v>
      </c>
      <c r="Q1" s="13" t="s">
        <v>86</v>
      </c>
      <c r="R1" s="13" t="s">
        <v>87</v>
      </c>
      <c r="S1" s="32" t="s">
        <v>88</v>
      </c>
      <c r="T1" s="13" t="s">
        <v>89</v>
      </c>
      <c r="U1" s="13" t="s">
        <v>90</v>
      </c>
      <c r="V1" s="13" t="s">
        <v>91</v>
      </c>
      <c r="W1" s="33" t="s">
        <v>92</v>
      </c>
      <c r="X1" s="13" t="s">
        <v>93</v>
      </c>
      <c r="Y1" s="13" t="s">
        <v>94</v>
      </c>
      <c r="Z1" s="32" t="s">
        <v>95</v>
      </c>
      <c r="AA1" s="13" t="s">
        <v>96</v>
      </c>
      <c r="AB1" s="13" t="s">
        <v>97</v>
      </c>
      <c r="AC1" s="13" t="s">
        <v>98</v>
      </c>
      <c r="AD1" s="13" t="s">
        <v>99</v>
      </c>
      <c r="AE1" s="32" t="s">
        <v>100</v>
      </c>
      <c r="AF1" s="52" t="s">
        <v>101</v>
      </c>
      <c r="AG1" s="52" t="s">
        <v>102</v>
      </c>
      <c r="AH1" s="52" t="s">
        <v>103</v>
      </c>
      <c r="AI1" s="75" t="s">
        <v>104</v>
      </c>
      <c r="AJ1" s="73" t="s">
        <v>105</v>
      </c>
      <c r="AK1" s="73" t="s">
        <v>106</v>
      </c>
      <c r="AL1" s="76" t="s">
        <v>107</v>
      </c>
      <c r="AM1" s="76" t="s">
        <v>108</v>
      </c>
      <c r="AN1" s="73" t="s">
        <v>109</v>
      </c>
      <c r="AO1" s="73" t="s">
        <v>110</v>
      </c>
      <c r="AP1" s="73" t="s">
        <v>111</v>
      </c>
      <c r="AQ1" s="73" t="s">
        <v>112</v>
      </c>
      <c r="AR1" s="73" t="s">
        <v>113</v>
      </c>
      <c r="AS1" s="73" t="s">
        <v>114</v>
      </c>
      <c r="AT1" s="73" t="s">
        <v>115</v>
      </c>
      <c r="AU1" s="73" t="s">
        <v>116</v>
      </c>
      <c r="AV1" s="73" t="s">
        <v>117</v>
      </c>
      <c r="AW1" s="73" t="s">
        <v>118</v>
      </c>
      <c r="AX1" s="73" t="s">
        <v>119</v>
      </c>
      <c r="AY1" s="73" t="s">
        <v>120</v>
      </c>
      <c r="AZ1" s="73" t="s">
        <v>121</v>
      </c>
      <c r="BA1" s="73" t="s">
        <v>122</v>
      </c>
      <c r="BB1" s="73" t="s">
        <v>123</v>
      </c>
      <c r="BC1" s="73" t="s">
        <v>124</v>
      </c>
      <c r="BD1" s="73" t="s">
        <v>125</v>
      </c>
      <c r="BE1" s="73" t="s">
        <v>126</v>
      </c>
      <c r="BF1" s="73" t="s">
        <v>127</v>
      </c>
      <c r="BG1" s="73" t="s">
        <v>128</v>
      </c>
      <c r="BH1" s="73" t="s">
        <v>129</v>
      </c>
      <c r="BI1" s="73" t="s">
        <v>130</v>
      </c>
      <c r="BJ1" s="73" t="s">
        <v>131</v>
      </c>
      <c r="BK1" s="73" t="s">
        <v>132</v>
      </c>
      <c r="BL1" s="73" t="s">
        <v>133</v>
      </c>
      <c r="BM1" s="73" t="s">
        <v>134</v>
      </c>
      <c r="BN1" s="73" t="s">
        <v>135</v>
      </c>
      <c r="BO1" s="73" t="s">
        <v>136</v>
      </c>
      <c r="BP1" s="73" t="s">
        <v>137</v>
      </c>
      <c r="BQ1" s="73" t="s">
        <v>138</v>
      </c>
      <c r="BR1" s="73" t="s">
        <v>139</v>
      </c>
      <c r="BS1" s="73" t="s">
        <v>140</v>
      </c>
      <c r="BT1" s="73" t="s">
        <v>141</v>
      </c>
      <c r="BU1" s="73" t="s">
        <v>142</v>
      </c>
      <c r="BV1" s="73" t="s">
        <v>143</v>
      </c>
      <c r="BW1" s="73" t="s">
        <v>144</v>
      </c>
      <c r="BX1" s="73" t="s">
        <v>145</v>
      </c>
      <c r="BY1" s="73" t="s">
        <v>146</v>
      </c>
      <c r="BZ1" s="73" t="s">
        <v>147</v>
      </c>
      <c r="CA1" s="73" t="s">
        <v>148</v>
      </c>
      <c r="CB1" s="73" t="s">
        <v>149</v>
      </c>
      <c r="CC1" s="73" t="s">
        <v>150</v>
      </c>
      <c r="CD1" s="73" t="s">
        <v>151</v>
      </c>
      <c r="CE1" s="73" t="s">
        <v>152</v>
      </c>
      <c r="CF1" s="73" t="s">
        <v>153</v>
      </c>
      <c r="CG1" s="73" t="s">
        <v>154</v>
      </c>
      <c r="CH1" s="73" t="s">
        <v>155</v>
      </c>
      <c r="CI1" s="73" t="s">
        <v>156</v>
      </c>
    </row>
    <row r="2" spans="1:88" s="13" customFormat="1">
      <c r="A2" s="9" t="s">
        <v>157</v>
      </c>
      <c r="B2" s="56">
        <v>2992.7</v>
      </c>
      <c r="C2" s="9" t="s">
        <v>158</v>
      </c>
      <c r="D2" s="16">
        <v>5.333333333333333</v>
      </c>
      <c r="E2" s="9">
        <v>5</v>
      </c>
      <c r="F2" s="9">
        <v>6</v>
      </c>
      <c r="G2" s="9">
        <v>4</v>
      </c>
      <c r="H2" s="9">
        <v>0.68599434057003539</v>
      </c>
      <c r="I2" s="16">
        <v>0.81451612903225812</v>
      </c>
      <c r="J2" s="9">
        <v>0.75</v>
      </c>
      <c r="K2" s="9">
        <v>1.5</v>
      </c>
      <c r="L2" s="9">
        <v>0.25</v>
      </c>
      <c r="M2" s="9">
        <v>0.35921060405354982</v>
      </c>
      <c r="N2" s="16">
        <v>17.833333333333332</v>
      </c>
      <c r="O2" s="9">
        <v>11</v>
      </c>
      <c r="P2" s="9">
        <v>75</v>
      </c>
      <c r="Q2" s="9">
        <v>1</v>
      </c>
      <c r="R2" s="9">
        <v>19.303534308038234</v>
      </c>
      <c r="S2" s="16">
        <v>1.6290322580645162</v>
      </c>
      <c r="T2" s="9">
        <v>1.5</v>
      </c>
      <c r="U2" s="9">
        <v>4.5</v>
      </c>
      <c r="V2" s="9">
        <v>0.5</v>
      </c>
      <c r="W2" s="15">
        <v>1.024432704276566</v>
      </c>
      <c r="X2" s="9">
        <v>0</v>
      </c>
      <c r="Y2" s="13" t="s">
        <v>157</v>
      </c>
      <c r="Z2" s="16">
        <v>15.386641403164765</v>
      </c>
      <c r="AA2" s="56">
        <v>31.197200564520053</v>
      </c>
      <c r="AB2" s="56">
        <v>60.524304792837498</v>
      </c>
      <c r="AC2" s="56">
        <v>-78.091691711953601</v>
      </c>
      <c r="AD2" s="56">
        <v>50.515264181304694</v>
      </c>
      <c r="AE2" s="16">
        <v>39.666222167748948</v>
      </c>
      <c r="AF2" s="57">
        <v>34.768448975925303</v>
      </c>
      <c r="AG2" s="57">
        <v>76.409387974100099</v>
      </c>
      <c r="AH2" s="57">
        <v>21.143187202198199</v>
      </c>
      <c r="AI2" s="68">
        <v>20.126707087152838</v>
      </c>
      <c r="AJ2" s="9" t="s">
        <v>157</v>
      </c>
      <c r="AK2">
        <v>4.8319999999999999</v>
      </c>
      <c r="AL2">
        <v>0.109</v>
      </c>
      <c r="AM2">
        <v>0.111</v>
      </c>
      <c r="AN2">
        <v>39.9</v>
      </c>
      <c r="AO2">
        <v>50.279000000000003</v>
      </c>
      <c r="AP2">
        <v>59.127000000000002</v>
      </c>
      <c r="AQ2">
        <v>68.900000000000006</v>
      </c>
      <c r="AR2">
        <v>85.58</v>
      </c>
      <c r="AS2">
        <v>90.153000000000006</v>
      </c>
      <c r="AT2">
        <v>2.15</v>
      </c>
      <c r="AU2">
        <v>6.6840000000000002</v>
      </c>
      <c r="AV2">
        <v>9.8409999999999993</v>
      </c>
      <c r="AW2">
        <v>13.771000000000001</v>
      </c>
      <c r="AX2">
        <v>16.745999999999999</v>
      </c>
      <c r="AY2">
        <v>18.169</v>
      </c>
      <c r="AZ2">
        <v>5.2999999999999999E-2</v>
      </c>
      <c r="BA2">
        <v>0.14099999999999999</v>
      </c>
      <c r="BB2">
        <v>0.20799999999999999</v>
      </c>
      <c r="BC2">
        <v>0.26800000000000002</v>
      </c>
      <c r="BD2">
        <v>0.311</v>
      </c>
      <c r="BE2">
        <v>0.39800000000000002</v>
      </c>
      <c r="BF2">
        <v>5.0999999999999997E-2</v>
      </c>
      <c r="BG2">
        <v>0.13500000000000001</v>
      </c>
      <c r="BH2">
        <v>0.19600000000000001</v>
      </c>
      <c r="BI2">
        <v>0.26400000000000001</v>
      </c>
      <c r="BJ2">
        <v>0.31</v>
      </c>
      <c r="BK2">
        <v>0.38500000000000001</v>
      </c>
      <c r="BL2">
        <v>771.24300000000005</v>
      </c>
      <c r="BM2">
        <v>878.19</v>
      </c>
      <c r="BN2">
        <v>942.45399999999995</v>
      </c>
      <c r="BO2">
        <v>1001.82</v>
      </c>
      <c r="BP2">
        <v>1035.18</v>
      </c>
      <c r="BQ2">
        <v>1122.46</v>
      </c>
      <c r="BR2">
        <v>2.4750000000000001</v>
      </c>
      <c r="BS2">
        <v>8.8450000000000006</v>
      </c>
      <c r="BT2">
        <v>13.9</v>
      </c>
      <c r="BU2">
        <v>18.728000000000002</v>
      </c>
      <c r="BV2">
        <v>21.672999999999998</v>
      </c>
      <c r="BW2">
        <v>23.042999999999999</v>
      </c>
      <c r="BX2">
        <v>7.0000000000000007E-2</v>
      </c>
      <c r="BY2">
        <v>0.19800000000000001</v>
      </c>
      <c r="BZ2">
        <v>0.30399999999999999</v>
      </c>
      <c r="CA2">
        <v>0.44</v>
      </c>
      <c r="CB2">
        <v>0.47699999999999998</v>
      </c>
      <c r="CC2">
        <v>0.49199999999999999</v>
      </c>
      <c r="CD2">
        <v>6.9000000000000006E-2</v>
      </c>
      <c r="CE2">
        <v>0.191</v>
      </c>
      <c r="CF2">
        <v>0.29299999999999998</v>
      </c>
      <c r="CG2">
        <v>0.433</v>
      </c>
      <c r="CH2">
        <v>0.46500000000000002</v>
      </c>
      <c r="CI2">
        <v>0.48899999999999999</v>
      </c>
      <c r="CJ2" s="9" t="s">
        <v>157</v>
      </c>
    </row>
    <row r="3" spans="1:88" s="9" customFormat="1">
      <c r="A3" s="9" t="s">
        <v>159</v>
      </c>
      <c r="B3" s="56">
        <v>2514</v>
      </c>
      <c r="C3" s="9" t="s">
        <v>160</v>
      </c>
      <c r="D3" s="16">
        <v>5.8888888888888893</v>
      </c>
      <c r="E3" s="9">
        <v>6</v>
      </c>
      <c r="F3" s="9">
        <v>6</v>
      </c>
      <c r="G3" s="9">
        <v>5</v>
      </c>
      <c r="H3" s="9">
        <v>0.3233808333817772</v>
      </c>
      <c r="I3" s="16">
        <v>0.7661290322580645</v>
      </c>
      <c r="J3" s="9">
        <v>0.75</v>
      </c>
      <c r="K3" s="9">
        <v>3.5</v>
      </c>
      <c r="L3" s="9">
        <v>0</v>
      </c>
      <c r="M3" s="9">
        <v>0.83150336707818906</v>
      </c>
      <c r="N3" s="16">
        <v>9.67741935483871</v>
      </c>
      <c r="O3" s="9">
        <v>1.5</v>
      </c>
      <c r="P3" s="9">
        <v>93</v>
      </c>
      <c r="Q3" s="9">
        <v>0</v>
      </c>
      <c r="R3" s="9">
        <v>18.341459587092469</v>
      </c>
      <c r="S3" s="16">
        <v>4.854838709677419</v>
      </c>
      <c r="T3" s="9">
        <v>2.5</v>
      </c>
      <c r="U3" s="9">
        <v>15</v>
      </c>
      <c r="V3" s="9">
        <v>0</v>
      </c>
      <c r="W3" s="15">
        <v>5.3232094773533891</v>
      </c>
      <c r="X3" s="9">
        <v>0</v>
      </c>
      <c r="Y3" s="13" t="s">
        <v>159</v>
      </c>
      <c r="Z3" s="16">
        <v>10.230757434969901</v>
      </c>
      <c r="AA3" s="9">
        <v>10.230757434969901</v>
      </c>
      <c r="AB3" s="9">
        <v>10.230757434969901</v>
      </c>
      <c r="AC3" s="9">
        <v>10.230757434969901</v>
      </c>
      <c r="AE3" s="16">
        <v>10.1306023918969</v>
      </c>
      <c r="AF3" s="49">
        <v>10.1306023918969</v>
      </c>
      <c r="AG3" s="49">
        <v>10.1306023918969</v>
      </c>
      <c r="AH3" s="49">
        <v>10.1306023918969</v>
      </c>
      <c r="AI3" s="15"/>
      <c r="AJ3" s="9" t="s">
        <v>159</v>
      </c>
      <c r="AK3">
        <v>5.9219999999999997</v>
      </c>
      <c r="AL3">
        <v>0.13100000000000001</v>
      </c>
      <c r="AM3">
        <v>0.13400000000000001</v>
      </c>
      <c r="AN3">
        <v>39.9</v>
      </c>
      <c r="AO3">
        <v>50.279000000000003</v>
      </c>
      <c r="AP3">
        <v>59.127000000000002</v>
      </c>
      <c r="AQ3">
        <v>68.900000000000006</v>
      </c>
      <c r="AR3">
        <v>85.58</v>
      </c>
      <c r="AS3">
        <v>90.153000000000006</v>
      </c>
      <c r="AT3">
        <v>2.8380000000000001</v>
      </c>
      <c r="AU3">
        <v>7.6689999999999996</v>
      </c>
      <c r="AV3">
        <v>11.052</v>
      </c>
      <c r="AW3">
        <v>15.340999999999999</v>
      </c>
      <c r="AX3">
        <v>17.853000000000002</v>
      </c>
      <c r="AY3">
        <v>20.440000000000001</v>
      </c>
      <c r="AZ3">
        <v>6.4000000000000001E-2</v>
      </c>
      <c r="BA3">
        <v>0.158</v>
      </c>
      <c r="BB3">
        <v>0.22600000000000001</v>
      </c>
      <c r="BC3">
        <v>0.29499999999999998</v>
      </c>
      <c r="BD3">
        <v>0.33700000000000002</v>
      </c>
      <c r="BE3">
        <v>0.42799999999999999</v>
      </c>
      <c r="BF3">
        <v>6.2E-2</v>
      </c>
      <c r="BG3">
        <v>0.152</v>
      </c>
      <c r="BH3">
        <v>0.20699999999999999</v>
      </c>
      <c r="BI3">
        <v>0.29099999999999998</v>
      </c>
      <c r="BJ3">
        <v>0.33500000000000002</v>
      </c>
      <c r="BK3">
        <v>0.41499999999999998</v>
      </c>
      <c r="BL3">
        <v>771.24300000000005</v>
      </c>
      <c r="BM3">
        <v>878.19</v>
      </c>
      <c r="BN3">
        <v>942.45399999999995</v>
      </c>
      <c r="BO3">
        <v>1001.82</v>
      </c>
      <c r="BP3">
        <v>1035.18</v>
      </c>
      <c r="BQ3">
        <v>1122.46</v>
      </c>
      <c r="BR3">
        <v>3.444</v>
      </c>
      <c r="BS3">
        <v>10.787000000000001</v>
      </c>
      <c r="BT3">
        <v>16.216000000000001</v>
      </c>
      <c r="BU3">
        <v>21.785</v>
      </c>
      <c r="BV3">
        <v>25.117999999999999</v>
      </c>
      <c r="BW3">
        <v>28.402999999999999</v>
      </c>
      <c r="BX3">
        <v>8.7999999999999995E-2</v>
      </c>
      <c r="BY3">
        <v>0.23200000000000001</v>
      </c>
      <c r="BZ3">
        <v>0.33200000000000002</v>
      </c>
      <c r="CA3">
        <v>0.51100000000000001</v>
      </c>
      <c r="CB3">
        <v>0.54600000000000004</v>
      </c>
      <c r="CC3">
        <v>0.56100000000000005</v>
      </c>
      <c r="CD3">
        <v>8.6999999999999994E-2</v>
      </c>
      <c r="CE3">
        <v>0.23</v>
      </c>
      <c r="CF3">
        <v>0.32500000000000001</v>
      </c>
      <c r="CG3">
        <v>0.49299999999999999</v>
      </c>
      <c r="CH3">
        <v>0.54200000000000004</v>
      </c>
      <c r="CI3">
        <v>0.55400000000000005</v>
      </c>
      <c r="CJ3" s="9" t="s">
        <v>159</v>
      </c>
    </row>
    <row r="4" spans="1:88" s="9" customFormat="1">
      <c r="A4" s="9" t="s">
        <v>161</v>
      </c>
      <c r="B4" s="56">
        <v>2489</v>
      </c>
      <c r="C4" s="9" t="s">
        <v>162</v>
      </c>
      <c r="D4" s="19">
        <v>5.2777777777777777</v>
      </c>
      <c r="E4" s="20">
        <v>5</v>
      </c>
      <c r="F4" s="20">
        <v>6</v>
      </c>
      <c r="G4" s="20">
        <v>4</v>
      </c>
      <c r="H4" s="20">
        <v>0.66911315806868732</v>
      </c>
      <c r="I4" s="19">
        <v>1.1499999999999999</v>
      </c>
      <c r="J4" s="20">
        <v>1.25</v>
      </c>
      <c r="K4" s="20">
        <v>2</v>
      </c>
      <c r="L4" s="20">
        <v>0.25</v>
      </c>
      <c r="M4" s="20">
        <v>0.46701546898990637</v>
      </c>
      <c r="N4" s="19">
        <v>40.354838709677416</v>
      </c>
      <c r="O4" s="20">
        <v>42</v>
      </c>
      <c r="P4" s="20">
        <v>112</v>
      </c>
      <c r="Q4" s="20">
        <v>0</v>
      </c>
      <c r="R4" s="20">
        <v>25.959967112327362</v>
      </c>
      <c r="S4" s="19">
        <v>3.806451612903226</v>
      </c>
      <c r="T4" s="20">
        <v>0.19325307811754</v>
      </c>
      <c r="U4" s="20">
        <v>0.61199592906074796</v>
      </c>
      <c r="V4" s="20">
        <v>3.806451612903226</v>
      </c>
      <c r="W4" s="21">
        <v>0.24095874065079881</v>
      </c>
      <c r="X4" s="9">
        <v>3</v>
      </c>
      <c r="Y4" s="13" t="s">
        <v>161</v>
      </c>
      <c r="Z4" s="58">
        <v>-167.06536848517209</v>
      </c>
      <c r="AA4" s="59">
        <v>-54.391240076632052</v>
      </c>
      <c r="AB4" s="59">
        <v>-33.116147985724197</v>
      </c>
      <c r="AC4" s="59">
        <v>-526.36284580170002</v>
      </c>
      <c r="AD4" s="59">
        <v>239.76326103522916</v>
      </c>
      <c r="AE4" s="58">
        <v>220.23200213352388</v>
      </c>
      <c r="AF4" s="59">
        <v>106.67875205762516</v>
      </c>
      <c r="AG4" s="59">
        <v>627.53228492698099</v>
      </c>
      <c r="AH4" s="59">
        <v>40.038219491864197</v>
      </c>
      <c r="AI4" s="69">
        <v>275.91517177497508</v>
      </c>
      <c r="AJ4" s="9" t="s">
        <v>161</v>
      </c>
      <c r="AK4">
        <v>3.173</v>
      </c>
      <c r="AL4">
        <v>6.8000000000000005E-2</v>
      </c>
      <c r="AM4">
        <v>7.0000000000000007E-2</v>
      </c>
      <c r="AN4">
        <v>39.9</v>
      </c>
      <c r="AO4">
        <v>50.279000000000003</v>
      </c>
      <c r="AP4">
        <v>59.127000000000002</v>
      </c>
      <c r="AQ4">
        <v>68.900000000000006</v>
      </c>
      <c r="AR4">
        <v>85.58</v>
      </c>
      <c r="AS4">
        <v>90.153000000000006</v>
      </c>
      <c r="AT4">
        <v>0.93400000000000005</v>
      </c>
      <c r="AU4">
        <v>4.5510000000000002</v>
      </c>
      <c r="AV4">
        <v>7.34</v>
      </c>
      <c r="AW4">
        <v>11.031000000000001</v>
      </c>
      <c r="AX4">
        <v>14.08</v>
      </c>
      <c r="AY4">
        <v>15.157</v>
      </c>
      <c r="AZ4">
        <v>0.03</v>
      </c>
      <c r="BA4">
        <v>9.5000000000000001E-2</v>
      </c>
      <c r="BB4">
        <v>0.152</v>
      </c>
      <c r="BC4">
        <v>0.20399999999999999</v>
      </c>
      <c r="BD4">
        <v>0.245</v>
      </c>
      <c r="BE4">
        <v>0.32600000000000001</v>
      </c>
      <c r="BF4">
        <v>2.9000000000000001E-2</v>
      </c>
      <c r="BG4">
        <v>0.09</v>
      </c>
      <c r="BH4">
        <v>0.14299999999999999</v>
      </c>
      <c r="BI4">
        <v>0.2</v>
      </c>
      <c r="BJ4">
        <v>0.23899999999999999</v>
      </c>
      <c r="BK4">
        <v>0.309</v>
      </c>
      <c r="BL4">
        <v>771.24300000000005</v>
      </c>
      <c r="BM4">
        <v>878.19</v>
      </c>
      <c r="BN4">
        <v>942.45399999999995</v>
      </c>
      <c r="BO4">
        <v>1001.82</v>
      </c>
      <c r="BP4">
        <v>1035.18</v>
      </c>
      <c r="BQ4">
        <v>1122.46</v>
      </c>
      <c r="BR4">
        <v>1.1839999999999999</v>
      </c>
      <c r="BS4">
        <v>5.4029999999999996</v>
      </c>
      <c r="BT4">
        <v>10.618</v>
      </c>
      <c r="BU4">
        <v>14.334</v>
      </c>
      <c r="BV4">
        <v>16.277999999999999</v>
      </c>
      <c r="BW4">
        <v>18.417999999999999</v>
      </c>
      <c r="BX4">
        <v>3.5000000000000003E-2</v>
      </c>
      <c r="BY4">
        <v>0.123</v>
      </c>
      <c r="BZ4">
        <v>0.21099999999999999</v>
      </c>
      <c r="CA4">
        <v>0.28199999999999997</v>
      </c>
      <c r="CB4">
        <v>0.33900000000000002</v>
      </c>
      <c r="CC4">
        <v>0.36699999999999999</v>
      </c>
      <c r="CD4">
        <v>3.4000000000000002E-2</v>
      </c>
      <c r="CE4">
        <v>0.11899999999999999</v>
      </c>
      <c r="CF4">
        <v>0.20300000000000001</v>
      </c>
      <c r="CG4">
        <v>0.27900000000000003</v>
      </c>
      <c r="CH4">
        <v>0.33300000000000002</v>
      </c>
      <c r="CI4">
        <v>0.36099999999999999</v>
      </c>
      <c r="CJ4" s="9" t="s">
        <v>161</v>
      </c>
    </row>
    <row r="5" spans="1:88" s="9" customFormat="1">
      <c r="A5" s="9" t="s">
        <v>163</v>
      </c>
      <c r="B5" s="56">
        <v>2054</v>
      </c>
      <c r="C5" s="9" t="s">
        <v>164</v>
      </c>
      <c r="D5" s="16">
        <v>5.2777777777777777</v>
      </c>
      <c r="E5" s="9">
        <v>5.5</v>
      </c>
      <c r="F5" s="9">
        <v>6</v>
      </c>
      <c r="G5" s="9">
        <v>3</v>
      </c>
      <c r="H5" s="9">
        <v>0.89479248698859803</v>
      </c>
      <c r="I5" s="16">
        <v>0.47499999999999998</v>
      </c>
      <c r="J5" s="9">
        <v>0</v>
      </c>
      <c r="K5" s="9">
        <v>4.5</v>
      </c>
      <c r="L5" s="9">
        <v>0</v>
      </c>
      <c r="M5" s="9">
        <v>0.88898915861664529</v>
      </c>
      <c r="N5" s="16">
        <v>48.033333333333331</v>
      </c>
      <c r="O5" s="9">
        <v>7.5</v>
      </c>
      <c r="P5" s="9">
        <v>700</v>
      </c>
      <c r="Q5" s="9">
        <v>0</v>
      </c>
      <c r="R5" s="9">
        <v>128.33858326326884</v>
      </c>
      <c r="S5" s="16">
        <v>5.3166666666666664</v>
      </c>
      <c r="T5" s="9">
        <v>4</v>
      </c>
      <c r="U5" s="9">
        <v>10</v>
      </c>
      <c r="V5" s="9">
        <v>0</v>
      </c>
      <c r="W5" s="15">
        <v>3.9837673499905306</v>
      </c>
      <c r="X5" s="9">
        <v>0</v>
      </c>
      <c r="Y5" s="13" t="s">
        <v>163</v>
      </c>
      <c r="Z5" s="16">
        <v>8.9185037589542429</v>
      </c>
      <c r="AA5" s="56">
        <v>8.3438138304479104</v>
      </c>
      <c r="AB5" s="56">
        <v>10.1308996114532</v>
      </c>
      <c r="AC5" s="56">
        <v>8.2807978349616196</v>
      </c>
      <c r="AD5" s="56">
        <v>1.050438256771566</v>
      </c>
      <c r="AE5" s="16">
        <v>3.6370061262030902</v>
      </c>
      <c r="AF5" s="57">
        <v>4.0136852920847801</v>
      </c>
      <c r="AG5" s="57">
        <v>4.0660873728459901</v>
      </c>
      <c r="AH5" s="57">
        <v>2.8312457136784999</v>
      </c>
      <c r="AI5" s="68">
        <v>0.69830070622252005</v>
      </c>
      <c r="AJ5" s="9" t="s">
        <v>163</v>
      </c>
      <c r="AK5">
        <v>20.8</v>
      </c>
      <c r="AL5">
        <v>0.3</v>
      </c>
      <c r="AM5">
        <v>0.309</v>
      </c>
      <c r="AN5">
        <v>39.9</v>
      </c>
      <c r="AO5">
        <v>50.279000000000003</v>
      </c>
      <c r="AP5">
        <v>59.127000000000002</v>
      </c>
      <c r="AQ5">
        <v>68.900000000000006</v>
      </c>
      <c r="AR5">
        <v>85.58</v>
      </c>
      <c r="AS5">
        <v>90.153000000000006</v>
      </c>
      <c r="AT5">
        <v>8.1839999999999993</v>
      </c>
      <c r="AU5">
        <v>15.744</v>
      </c>
      <c r="AV5">
        <v>19.012</v>
      </c>
      <c r="AW5">
        <v>27.145</v>
      </c>
      <c r="AX5">
        <v>37.148000000000003</v>
      </c>
      <c r="AY5">
        <v>45.424999999999997</v>
      </c>
      <c r="AZ5">
        <v>0.121</v>
      </c>
      <c r="BA5">
        <v>0.214</v>
      </c>
      <c r="BB5">
        <v>0.28699999999999998</v>
      </c>
      <c r="BC5">
        <v>0.38300000000000001</v>
      </c>
      <c r="BD5">
        <v>0.42599999999999999</v>
      </c>
      <c r="BE5">
        <v>0.45600000000000002</v>
      </c>
      <c r="BF5">
        <v>0.11700000000000001</v>
      </c>
      <c r="BG5">
        <v>0.21099999999999999</v>
      </c>
      <c r="BH5">
        <v>0.28599999999999998</v>
      </c>
      <c r="BI5">
        <v>0.36699999999999999</v>
      </c>
      <c r="BJ5">
        <v>0.41599999999999998</v>
      </c>
      <c r="BK5">
        <v>0.45600000000000002</v>
      </c>
      <c r="BL5">
        <v>771.24300000000005</v>
      </c>
      <c r="BM5">
        <v>878.19</v>
      </c>
      <c r="BN5">
        <v>942.45399999999995</v>
      </c>
      <c r="BO5">
        <v>1001.82</v>
      </c>
      <c r="BP5">
        <v>1035.18</v>
      </c>
      <c r="BQ5">
        <v>1122.46</v>
      </c>
      <c r="BR5">
        <v>16.376000000000001</v>
      </c>
      <c r="BS5">
        <v>33.969000000000001</v>
      </c>
      <c r="BT5">
        <v>43.654000000000003</v>
      </c>
      <c r="BU5">
        <v>57.281999999999996</v>
      </c>
      <c r="BV5">
        <v>62.423999999999999</v>
      </c>
      <c r="BW5">
        <v>85.975999999999999</v>
      </c>
      <c r="BX5">
        <v>0.25700000000000001</v>
      </c>
      <c r="BY5">
        <v>0.48399999999999999</v>
      </c>
      <c r="BZ5">
        <v>0.65100000000000002</v>
      </c>
      <c r="CA5">
        <v>0.78100000000000003</v>
      </c>
      <c r="CB5">
        <v>0.92800000000000005</v>
      </c>
      <c r="CC5">
        <v>1.153</v>
      </c>
      <c r="CD5">
        <v>0.24</v>
      </c>
      <c r="CE5">
        <v>0.47299999999999998</v>
      </c>
      <c r="CF5">
        <v>0.623</v>
      </c>
      <c r="CG5">
        <v>0.76200000000000001</v>
      </c>
      <c r="CH5">
        <v>0.90100000000000002</v>
      </c>
      <c r="CI5">
        <v>1.1379999999999999</v>
      </c>
      <c r="CJ5" s="9" t="s">
        <v>163</v>
      </c>
    </row>
    <row r="6" spans="1:88" s="9" customFormat="1">
      <c r="A6" s="9" t="s">
        <v>165</v>
      </c>
      <c r="B6" s="56">
        <v>2054</v>
      </c>
      <c r="C6" s="9" t="s">
        <v>166</v>
      </c>
      <c r="D6" s="16">
        <v>5.333333333333333</v>
      </c>
      <c r="E6" s="9">
        <v>5</v>
      </c>
      <c r="F6" s="9">
        <v>6</v>
      </c>
      <c r="G6" s="9">
        <v>3</v>
      </c>
      <c r="H6" s="9">
        <v>0.76696498884737041</v>
      </c>
      <c r="I6" s="16">
        <v>1.1833333333333333</v>
      </c>
      <c r="J6" s="9">
        <v>1</v>
      </c>
      <c r="K6" s="9">
        <v>2.5</v>
      </c>
      <c r="L6" s="9">
        <v>0.25</v>
      </c>
      <c r="M6" s="9">
        <v>0.56832077715593543</v>
      </c>
      <c r="N6" s="16">
        <v>82.967741935483872</v>
      </c>
      <c r="O6" s="9">
        <v>92</v>
      </c>
      <c r="P6" s="9">
        <v>132</v>
      </c>
      <c r="Q6" s="9">
        <v>15</v>
      </c>
      <c r="R6" s="9">
        <v>31.280967451969619</v>
      </c>
      <c r="S6" s="16">
        <v>5.854838709677419</v>
      </c>
      <c r="T6" s="9">
        <v>5</v>
      </c>
      <c r="U6" s="9">
        <v>14</v>
      </c>
      <c r="V6" s="9">
        <v>2</v>
      </c>
      <c r="W6" s="15">
        <v>2.7604152718600647</v>
      </c>
      <c r="X6" s="9">
        <v>0</v>
      </c>
      <c r="Y6" s="13" t="s">
        <v>165</v>
      </c>
      <c r="Z6" s="16">
        <v>-101.33517650999366</v>
      </c>
      <c r="AA6" s="56">
        <v>-107.12731491533711</v>
      </c>
      <c r="AB6" s="56">
        <v>-35.397641884331399</v>
      </c>
      <c r="AC6" s="9">
        <v>-155.68843432496899</v>
      </c>
      <c r="AD6" s="56">
        <v>57.915452386067614</v>
      </c>
      <c r="AE6" s="16">
        <v>119.03029835695654</v>
      </c>
      <c r="AF6" s="57">
        <v>117.44546257897579</v>
      </c>
      <c r="AG6" s="57">
        <v>204.970555807724</v>
      </c>
      <c r="AH6" s="49">
        <v>36.259712462150603</v>
      </c>
      <c r="AI6" s="68">
        <v>82.35391055443894</v>
      </c>
      <c r="AJ6" s="9" t="s">
        <v>165</v>
      </c>
      <c r="AK6">
        <v>19.443999999999999</v>
      </c>
      <c r="AL6">
        <v>0.433</v>
      </c>
      <c r="AM6">
        <v>0.44800000000000001</v>
      </c>
      <c r="AN6">
        <v>39.9</v>
      </c>
      <c r="AO6">
        <v>50.279000000000003</v>
      </c>
      <c r="AP6">
        <v>59.127000000000002</v>
      </c>
      <c r="AQ6">
        <v>68.900000000000006</v>
      </c>
      <c r="AR6">
        <v>85.58</v>
      </c>
      <c r="AS6">
        <v>90.153000000000006</v>
      </c>
      <c r="AT6">
        <v>7.8360000000000003</v>
      </c>
      <c r="AU6">
        <v>15.403</v>
      </c>
      <c r="AV6">
        <v>18.631</v>
      </c>
      <c r="AW6">
        <v>26.742000000000001</v>
      </c>
      <c r="AX6">
        <v>36.396000000000001</v>
      </c>
      <c r="AY6">
        <v>44.960999999999999</v>
      </c>
      <c r="AZ6">
        <v>0.17599999999999999</v>
      </c>
      <c r="BA6">
        <v>0.315</v>
      </c>
      <c r="BB6">
        <v>0.441</v>
      </c>
      <c r="BC6">
        <v>0.56200000000000006</v>
      </c>
      <c r="BD6">
        <v>0.64900000000000002</v>
      </c>
      <c r="BE6">
        <v>0.8</v>
      </c>
      <c r="BF6">
        <v>0.17100000000000001</v>
      </c>
      <c r="BG6">
        <v>0.30599999999999999</v>
      </c>
      <c r="BH6">
        <v>0.42599999999999999</v>
      </c>
      <c r="BI6">
        <v>0.55600000000000005</v>
      </c>
      <c r="BJ6">
        <v>0.61299999999999999</v>
      </c>
      <c r="BK6">
        <v>0.75700000000000001</v>
      </c>
      <c r="BL6">
        <v>771.24300000000005</v>
      </c>
      <c r="BM6">
        <v>878.19</v>
      </c>
      <c r="BN6">
        <v>942.45399999999995</v>
      </c>
      <c r="BO6">
        <v>1001.82</v>
      </c>
      <c r="BP6">
        <v>1035.18</v>
      </c>
      <c r="BQ6">
        <v>1122.46</v>
      </c>
      <c r="BR6">
        <v>15.231999999999999</v>
      </c>
      <c r="BS6">
        <v>32.134</v>
      </c>
      <c r="BT6">
        <v>41.505000000000003</v>
      </c>
      <c r="BU6">
        <v>54.103999999999999</v>
      </c>
      <c r="BV6">
        <v>59.052</v>
      </c>
      <c r="BW6">
        <v>83.245000000000005</v>
      </c>
      <c r="BX6">
        <v>0.36</v>
      </c>
      <c r="BY6">
        <v>0.71</v>
      </c>
      <c r="BZ6">
        <v>0.92300000000000004</v>
      </c>
      <c r="CA6">
        <v>1.1839999999999999</v>
      </c>
      <c r="CB6">
        <v>1.43</v>
      </c>
      <c r="CC6">
        <v>1.611</v>
      </c>
      <c r="CD6">
        <v>0.33800000000000002</v>
      </c>
      <c r="CE6">
        <v>0.68400000000000005</v>
      </c>
      <c r="CF6">
        <v>0.89500000000000002</v>
      </c>
      <c r="CG6">
        <v>1.1439999999999999</v>
      </c>
      <c r="CH6">
        <v>1.379</v>
      </c>
      <c r="CI6">
        <v>1.583</v>
      </c>
      <c r="CJ6" s="9" t="s">
        <v>165</v>
      </c>
    </row>
    <row r="7" spans="1:88" s="28" customFormat="1">
      <c r="A7" s="28" t="s">
        <v>167</v>
      </c>
      <c r="B7" s="60">
        <v>1570.6</v>
      </c>
      <c r="C7" s="28" t="s">
        <v>168</v>
      </c>
      <c r="D7" s="29">
        <v>2.2777777777777777</v>
      </c>
      <c r="E7" s="28">
        <v>1.5</v>
      </c>
      <c r="F7" s="28">
        <v>5</v>
      </c>
      <c r="G7" s="28">
        <v>1</v>
      </c>
      <c r="H7" s="28">
        <v>1.6735153404648677</v>
      </c>
      <c r="I7" s="29">
        <v>1.6416666666666666</v>
      </c>
      <c r="J7" s="28">
        <v>1.5</v>
      </c>
      <c r="K7" s="28">
        <v>3.5</v>
      </c>
      <c r="L7" s="28">
        <v>0</v>
      </c>
      <c r="M7" s="28">
        <v>1.0900872579225285</v>
      </c>
      <c r="N7" s="29">
        <v>14.966666666666667</v>
      </c>
      <c r="O7" s="28">
        <v>7</v>
      </c>
      <c r="P7" s="28">
        <v>56</v>
      </c>
      <c r="Q7" s="28">
        <v>0</v>
      </c>
      <c r="R7" s="28">
        <v>18.145928266244145</v>
      </c>
      <c r="S7" s="29">
        <v>1.1000000000000001</v>
      </c>
      <c r="T7" s="28">
        <v>0.5</v>
      </c>
      <c r="U7" s="28">
        <v>5</v>
      </c>
      <c r="V7" s="28">
        <v>0</v>
      </c>
      <c r="W7" s="30">
        <v>1.3796551293211172</v>
      </c>
      <c r="X7" s="28">
        <v>19</v>
      </c>
      <c r="Y7" s="31" t="s">
        <v>167</v>
      </c>
      <c r="Z7" s="29">
        <v>10.043575869516294</v>
      </c>
      <c r="AA7" s="60">
        <v>10.043575869516296</v>
      </c>
      <c r="AB7" s="28">
        <v>21.873196650411099</v>
      </c>
      <c r="AC7" s="28">
        <v>-1.78604491137851</v>
      </c>
      <c r="AD7" s="60">
        <v>16.729610146072037</v>
      </c>
      <c r="AE7" s="29">
        <v>38.857629574986149</v>
      </c>
      <c r="AF7" s="61">
        <v>38.857629574986149</v>
      </c>
      <c r="AG7" s="53">
        <v>60.2647525157494</v>
      </c>
      <c r="AH7" s="53">
        <v>17.450506634222901</v>
      </c>
      <c r="AI7" s="70">
        <v>30.274243594215598</v>
      </c>
      <c r="AJ7" s="28" t="s">
        <v>167</v>
      </c>
      <c r="AK7" s="4">
        <v>34.655000000000001</v>
      </c>
      <c r="AL7" s="4">
        <v>0.55600000000000005</v>
      </c>
      <c r="AM7" s="4">
        <v>0.56599999999999995</v>
      </c>
      <c r="AN7" s="4">
        <v>39.9</v>
      </c>
      <c r="AO7" s="4">
        <v>50.279000000000003</v>
      </c>
      <c r="AP7" s="4">
        <v>59.127000000000002</v>
      </c>
      <c r="AQ7" s="4">
        <v>68.900000000000006</v>
      </c>
      <c r="AR7" s="4">
        <v>85.58</v>
      </c>
      <c r="AS7" s="4">
        <v>90.153000000000006</v>
      </c>
      <c r="AT7" s="4">
        <v>11.269</v>
      </c>
      <c r="AU7" s="4">
        <v>19.859000000000002</v>
      </c>
      <c r="AV7" s="4">
        <v>23.161000000000001</v>
      </c>
      <c r="AW7" s="4">
        <v>31.158000000000001</v>
      </c>
      <c r="AX7" s="4">
        <v>45.139000000000003</v>
      </c>
      <c r="AY7" s="4">
        <v>51.017000000000003</v>
      </c>
      <c r="AZ7" s="4">
        <v>0.185</v>
      </c>
      <c r="BA7" s="4">
        <v>0.30499999999999999</v>
      </c>
      <c r="BB7" s="4">
        <v>0.39900000000000002</v>
      </c>
      <c r="BC7" s="4">
        <v>0.52800000000000002</v>
      </c>
      <c r="BD7" s="4">
        <v>0.59499999999999997</v>
      </c>
      <c r="BE7" s="4">
        <v>0.62</v>
      </c>
      <c r="BF7" s="4">
        <v>0.183</v>
      </c>
      <c r="BG7" s="4">
        <v>0.30299999999999999</v>
      </c>
      <c r="BH7" s="4">
        <v>0.39700000000000002</v>
      </c>
      <c r="BI7" s="4">
        <v>0.52100000000000002</v>
      </c>
      <c r="BJ7" s="4">
        <v>0.57699999999999996</v>
      </c>
      <c r="BK7" s="4">
        <v>0.62</v>
      </c>
      <c r="BL7" s="4">
        <v>771.24300000000005</v>
      </c>
      <c r="BM7" s="4">
        <v>878.19</v>
      </c>
      <c r="BN7" s="4">
        <v>942.45399999999995</v>
      </c>
      <c r="BO7" s="4">
        <v>1001.82</v>
      </c>
      <c r="BP7" s="4">
        <v>1035.18</v>
      </c>
      <c r="BQ7" s="4">
        <v>1122.46</v>
      </c>
      <c r="BR7" s="4">
        <v>29.102</v>
      </c>
      <c r="BS7" s="4">
        <v>51.197000000000003</v>
      </c>
      <c r="BT7" s="4">
        <v>65.236999999999995</v>
      </c>
      <c r="BU7" s="4">
        <v>80.034000000000006</v>
      </c>
      <c r="BV7" s="4">
        <v>94.960999999999999</v>
      </c>
      <c r="BW7" s="4">
        <v>112.473</v>
      </c>
      <c r="BX7" s="4">
        <v>0.48399999999999999</v>
      </c>
      <c r="BY7" s="4">
        <v>0.81699999999999995</v>
      </c>
      <c r="BZ7" s="4">
        <v>1.0680000000000001</v>
      </c>
      <c r="CA7" s="4">
        <v>1.284</v>
      </c>
      <c r="CB7" s="4">
        <v>1.512</v>
      </c>
      <c r="CC7" s="4">
        <v>1.766</v>
      </c>
      <c r="CD7" s="4">
        <v>0.47499999999999998</v>
      </c>
      <c r="CE7" s="4">
        <v>0.8</v>
      </c>
      <c r="CF7" s="4">
        <v>1.046</v>
      </c>
      <c r="CG7" s="4">
        <v>1.274</v>
      </c>
      <c r="CH7" s="4">
        <v>1.4810000000000001</v>
      </c>
      <c r="CI7" s="4">
        <v>1.7569999999999999</v>
      </c>
      <c r="CJ7" s="28" t="s">
        <v>167</v>
      </c>
    </row>
    <row r="8" spans="1:88" s="9" customFormat="1"/>
    <row r="9" spans="1:88" s="56" customFormat="1"/>
    <row r="10" spans="1:88" s="56" customFormat="1">
      <c r="A10" s="60"/>
      <c r="B10" s="60"/>
      <c r="AI10" s="9"/>
      <c r="AJ10" s="60"/>
      <c r="CJ10" s="60"/>
    </row>
    <row r="11" spans="1:88" s="63" customFormat="1">
      <c r="A11" s="11" t="s">
        <v>169</v>
      </c>
      <c r="B11" s="11">
        <v>2821.8</v>
      </c>
      <c r="C11" s="11" t="s">
        <v>170</v>
      </c>
      <c r="D11" s="17">
        <v>4.333333333333333</v>
      </c>
      <c r="E11" s="11">
        <v>4.5</v>
      </c>
      <c r="F11" s="11">
        <v>6</v>
      </c>
      <c r="G11" s="11">
        <v>1</v>
      </c>
      <c r="H11" s="11">
        <v>1.1881770515720091</v>
      </c>
      <c r="I11" s="17">
        <v>1.3828125</v>
      </c>
      <c r="J11" s="11">
        <v>1.25</v>
      </c>
      <c r="K11" s="11">
        <v>2.75</v>
      </c>
      <c r="L11" s="11">
        <v>0.25</v>
      </c>
      <c r="M11" s="11">
        <v>0.70420503967468584</v>
      </c>
      <c r="N11" s="17">
        <v>2.75</v>
      </c>
      <c r="O11" s="11">
        <v>1</v>
      </c>
      <c r="P11" s="11">
        <v>17</v>
      </c>
      <c r="Q11" s="11">
        <v>0</v>
      </c>
      <c r="R11" s="11">
        <v>3.8411339920429208</v>
      </c>
      <c r="S11" s="17">
        <v>1.2833333333333334</v>
      </c>
      <c r="T11" s="11">
        <v>1</v>
      </c>
      <c r="U11" s="11">
        <v>5</v>
      </c>
      <c r="V11" s="11">
        <v>0</v>
      </c>
      <c r="W11" s="18">
        <v>1.4364907751623179</v>
      </c>
      <c r="X11" s="63">
        <v>12</v>
      </c>
      <c r="Y11" s="12" t="s">
        <v>169</v>
      </c>
      <c r="Z11" s="62">
        <v>17.933005875496693</v>
      </c>
      <c r="AA11" s="63">
        <v>18.339199761152599</v>
      </c>
      <c r="AB11" s="63">
        <v>31.3376572794384</v>
      </c>
      <c r="AC11" s="63">
        <v>2.97912203893656</v>
      </c>
      <c r="AD11" s="63">
        <v>9.3761000658113289</v>
      </c>
      <c r="AE11" s="62">
        <v>20.169972466989297</v>
      </c>
      <c r="AF11" s="64">
        <v>18.129201130705649</v>
      </c>
      <c r="AG11" s="64">
        <v>29.1161339912687</v>
      </c>
      <c r="AH11" s="64">
        <v>16.197790332712401</v>
      </c>
      <c r="AI11" s="71">
        <v>4.8361788014706972</v>
      </c>
      <c r="AJ11" s="11" t="s">
        <v>169</v>
      </c>
      <c r="AK11" s="14">
        <v>19.803999999999998</v>
      </c>
      <c r="AL11" s="14">
        <v>0.29199999999999998</v>
      </c>
      <c r="AM11" s="14">
        <v>0.29799999999999999</v>
      </c>
      <c r="AN11" s="14">
        <v>39.9</v>
      </c>
      <c r="AO11" s="14">
        <v>50.279000000000003</v>
      </c>
      <c r="AP11" s="14">
        <v>59.127000000000002</v>
      </c>
      <c r="AQ11" s="14">
        <v>68.900000000000006</v>
      </c>
      <c r="AR11" s="14">
        <v>85.58</v>
      </c>
      <c r="AS11" s="14">
        <v>90.153000000000006</v>
      </c>
      <c r="AT11" s="14">
        <v>7.8609999999999998</v>
      </c>
      <c r="AU11" s="14">
        <v>15.217000000000001</v>
      </c>
      <c r="AV11" s="14">
        <v>18.638000000000002</v>
      </c>
      <c r="AW11" s="14">
        <v>26.712</v>
      </c>
      <c r="AX11" s="14">
        <v>34.648000000000003</v>
      </c>
      <c r="AY11" s="14">
        <v>44.411000000000001</v>
      </c>
      <c r="AZ11" s="14">
        <v>0.12</v>
      </c>
      <c r="BA11" s="14">
        <v>0.21199999999999999</v>
      </c>
      <c r="BB11" s="14">
        <v>0.28599999999999998</v>
      </c>
      <c r="BC11" s="14">
        <v>0.375</v>
      </c>
      <c r="BD11" s="14">
        <v>0.42299999999999999</v>
      </c>
      <c r="BE11" s="14">
        <v>0.45</v>
      </c>
      <c r="BF11" s="14">
        <v>0.11700000000000001</v>
      </c>
      <c r="BG11" s="14">
        <v>0.20499999999999999</v>
      </c>
      <c r="BH11" s="14">
        <v>0.28599999999999998</v>
      </c>
      <c r="BI11" s="14">
        <v>0.373</v>
      </c>
      <c r="BJ11" s="14">
        <v>0.41499999999999998</v>
      </c>
      <c r="BK11" s="14">
        <v>0.44500000000000001</v>
      </c>
      <c r="BL11" s="14">
        <v>771.24300000000005</v>
      </c>
      <c r="BM11" s="14">
        <v>878.19</v>
      </c>
      <c r="BN11" s="14">
        <v>942.45399999999995</v>
      </c>
      <c r="BO11" s="14">
        <v>1001.82</v>
      </c>
      <c r="BP11" s="14">
        <v>1035.18</v>
      </c>
      <c r="BQ11" s="14">
        <v>1122.46</v>
      </c>
      <c r="BR11" s="14">
        <v>15.185</v>
      </c>
      <c r="BS11" s="14">
        <v>32.718000000000004</v>
      </c>
      <c r="BT11" s="14">
        <v>42.244999999999997</v>
      </c>
      <c r="BU11" s="14">
        <v>54.819000000000003</v>
      </c>
      <c r="BV11" s="14">
        <v>59.835999999999999</v>
      </c>
      <c r="BW11" s="14">
        <v>82.128</v>
      </c>
      <c r="BX11" s="14">
        <v>0.24199999999999999</v>
      </c>
      <c r="BY11" s="14">
        <v>0.47</v>
      </c>
      <c r="BZ11" s="14">
        <v>0.63700000000000001</v>
      </c>
      <c r="CA11" s="14">
        <v>0.76500000000000001</v>
      </c>
      <c r="CB11" s="14">
        <v>0.90400000000000003</v>
      </c>
      <c r="CC11" s="14">
        <v>0.10929999999999999</v>
      </c>
      <c r="CD11" s="14">
        <v>0.23599999999999999</v>
      </c>
      <c r="CE11" s="14">
        <v>0.46500000000000002</v>
      </c>
      <c r="CF11" s="14">
        <v>0.622</v>
      </c>
      <c r="CG11" s="14">
        <v>0.75</v>
      </c>
      <c r="CH11" s="14">
        <v>0.88700000000000001</v>
      </c>
      <c r="CI11" s="14">
        <v>1.0840000000000001</v>
      </c>
      <c r="CJ11" s="11" t="s">
        <v>169</v>
      </c>
    </row>
    <row r="12" spans="1:88" s="63" customFormat="1">
      <c r="A12" s="11" t="s">
        <v>171</v>
      </c>
      <c r="B12" s="63">
        <v>2560</v>
      </c>
      <c r="C12" s="11" t="s">
        <v>172</v>
      </c>
      <c r="D12" s="17">
        <v>3.5555555555555554</v>
      </c>
      <c r="E12" s="11">
        <v>4</v>
      </c>
      <c r="F12" s="11">
        <v>5</v>
      </c>
      <c r="G12" s="11">
        <v>1</v>
      </c>
      <c r="H12" s="11">
        <v>1.2935233335271095</v>
      </c>
      <c r="I12" s="17">
        <v>2.2419354838709675</v>
      </c>
      <c r="J12" s="11">
        <v>2</v>
      </c>
      <c r="K12" s="11">
        <v>4.5</v>
      </c>
      <c r="L12" s="11">
        <v>0</v>
      </c>
      <c r="M12" s="11">
        <v>1.0635707760647266</v>
      </c>
      <c r="N12" s="17">
        <v>0.967741935483871</v>
      </c>
      <c r="O12" s="11">
        <v>0</v>
      </c>
      <c r="P12" s="11">
        <v>5.5</v>
      </c>
      <c r="Q12" s="11">
        <v>0</v>
      </c>
      <c r="R12" s="11">
        <v>1.4828771800735203</v>
      </c>
      <c r="S12" s="17">
        <v>0.80645161290322576</v>
      </c>
      <c r="T12" s="11">
        <v>0.5</v>
      </c>
      <c r="U12" s="11">
        <v>4</v>
      </c>
      <c r="V12" s="11">
        <v>0</v>
      </c>
      <c r="W12" s="18">
        <v>0.90071656062306593</v>
      </c>
      <c r="X12" s="63">
        <v>19</v>
      </c>
      <c r="Y12" s="12" t="s">
        <v>171</v>
      </c>
      <c r="Z12" s="62">
        <v>11.807519499599946</v>
      </c>
      <c r="AA12" s="63">
        <v>10.486689398561065</v>
      </c>
      <c r="AB12" s="63">
        <v>22.767547138005099</v>
      </c>
      <c r="AC12" s="63">
        <v>2.9597570407478901</v>
      </c>
      <c r="AD12" s="63">
        <v>7.0054765402207932</v>
      </c>
      <c r="AE12" s="62">
        <v>19.651330674219185</v>
      </c>
      <c r="AF12" s="64">
        <v>16.93800136764785</v>
      </c>
      <c r="AG12" s="64">
        <v>33.135081306572502</v>
      </c>
      <c r="AH12" s="64">
        <v>12.350076239184</v>
      </c>
      <c r="AI12" s="71">
        <v>8.2645419799772206</v>
      </c>
      <c r="AJ12" s="11" t="s">
        <v>171</v>
      </c>
      <c r="AK12" s="14">
        <v>32.643000000000001</v>
      </c>
      <c r="AL12" s="14">
        <v>0.46</v>
      </c>
      <c r="AM12" s="14">
        <v>0.46800000000000003</v>
      </c>
      <c r="AN12" s="14">
        <v>39.9</v>
      </c>
      <c r="AO12" s="14">
        <v>50.279000000000003</v>
      </c>
      <c r="AP12" s="14">
        <v>59.127000000000002</v>
      </c>
      <c r="AQ12" s="14">
        <v>68.900000000000006</v>
      </c>
      <c r="AR12" s="14">
        <v>85.58</v>
      </c>
      <c r="AS12" s="14">
        <v>90.153000000000006</v>
      </c>
      <c r="AT12" s="14">
        <v>10.907999999999999</v>
      </c>
      <c r="AU12" s="14">
        <v>19.449000000000002</v>
      </c>
      <c r="AV12" s="14">
        <v>22.699000000000002</v>
      </c>
      <c r="AW12" s="14">
        <v>31.076000000000001</v>
      </c>
      <c r="AX12" s="14">
        <v>44.96</v>
      </c>
      <c r="AY12" s="14">
        <v>50.387999999999998</v>
      </c>
      <c r="AZ12" s="14">
        <v>0.156</v>
      </c>
      <c r="BA12" s="14">
        <v>0.26</v>
      </c>
      <c r="BB12" s="14">
        <v>0.34</v>
      </c>
      <c r="BC12" s="14">
        <v>0.45500000000000002</v>
      </c>
      <c r="BD12" s="14">
        <v>0.503</v>
      </c>
      <c r="BE12" s="14">
        <v>0.55400000000000005</v>
      </c>
      <c r="BF12" s="14">
        <v>0.156</v>
      </c>
      <c r="BG12" s="14">
        <v>0.26</v>
      </c>
      <c r="BH12" s="14">
        <v>0.34</v>
      </c>
      <c r="BI12" s="14">
        <v>0.45500000000000002</v>
      </c>
      <c r="BJ12" s="14">
        <v>0.503</v>
      </c>
      <c r="BK12" s="14">
        <v>0.55400000000000005</v>
      </c>
      <c r="BL12" s="14">
        <v>771.24300000000005</v>
      </c>
      <c r="BM12" s="14">
        <v>878.19</v>
      </c>
      <c r="BN12" s="14">
        <v>942.45399999999995</v>
      </c>
      <c r="BO12" s="14">
        <v>1001.82</v>
      </c>
      <c r="BP12" s="14">
        <v>1035.18</v>
      </c>
      <c r="BQ12" s="14">
        <v>1122.46</v>
      </c>
      <c r="BR12" s="14">
        <v>27.024999999999999</v>
      </c>
      <c r="BS12" s="14">
        <v>48.529000000000003</v>
      </c>
      <c r="BT12" s="14">
        <v>61.344999999999999</v>
      </c>
      <c r="BU12" s="14">
        <v>76.644000000000005</v>
      </c>
      <c r="BV12" s="14">
        <v>91.168000000000006</v>
      </c>
      <c r="BW12" s="14">
        <v>109.623</v>
      </c>
      <c r="BX12" s="14">
        <v>0.39600000000000002</v>
      </c>
      <c r="BY12" s="14">
        <v>0.68899999999999995</v>
      </c>
      <c r="BZ12" s="14">
        <v>0.89600000000000002</v>
      </c>
      <c r="CA12" s="14">
        <v>1.093</v>
      </c>
      <c r="CB12" s="14">
        <v>1.2589999999999999</v>
      </c>
      <c r="CC12" s="14">
        <v>1.512</v>
      </c>
      <c r="CD12" s="14">
        <v>0.38800000000000001</v>
      </c>
      <c r="CE12" s="14">
        <v>0.67200000000000004</v>
      </c>
      <c r="CF12" s="14">
        <v>0.875</v>
      </c>
      <c r="CG12" s="14">
        <v>1.077</v>
      </c>
      <c r="CH12" s="14">
        <v>1.2310000000000001</v>
      </c>
      <c r="CI12" s="14">
        <v>1.5029999999999999</v>
      </c>
      <c r="CJ12" s="11" t="s">
        <v>171</v>
      </c>
    </row>
    <row r="13" spans="1:88" s="63" customFormat="1">
      <c r="A13" s="11" t="s">
        <v>173</v>
      </c>
      <c r="B13" s="63">
        <v>2341</v>
      </c>
      <c r="C13" s="11" t="s">
        <v>174</v>
      </c>
      <c r="D13" s="17">
        <v>4.3888888888888893</v>
      </c>
      <c r="E13" s="11">
        <v>4.5</v>
      </c>
      <c r="F13" s="11">
        <v>6</v>
      </c>
      <c r="G13" s="11">
        <v>3</v>
      </c>
      <c r="H13" s="11">
        <v>0.84983658559879727</v>
      </c>
      <c r="I13" s="17">
        <v>0.77500000000000002</v>
      </c>
      <c r="J13" s="11">
        <v>0.75</v>
      </c>
      <c r="K13" s="11">
        <v>2.25</v>
      </c>
      <c r="L13" s="11">
        <v>0</v>
      </c>
      <c r="M13" s="11">
        <v>0.50578549358126257</v>
      </c>
      <c r="N13" s="17">
        <v>9.5500000000000007</v>
      </c>
      <c r="O13" s="11">
        <v>3.25</v>
      </c>
      <c r="P13" s="11">
        <v>141</v>
      </c>
      <c r="Q13" s="11">
        <v>0</v>
      </c>
      <c r="R13" s="11">
        <v>26.826823298256208</v>
      </c>
      <c r="S13" s="17">
        <v>3.3333333333333335</v>
      </c>
      <c r="T13" s="11">
        <v>3</v>
      </c>
      <c r="U13" s="11">
        <v>14</v>
      </c>
      <c r="V13" s="11">
        <v>0</v>
      </c>
      <c r="W13" s="18">
        <v>2.8867513459481291</v>
      </c>
      <c r="X13" s="11">
        <v>6</v>
      </c>
      <c r="Y13" s="12" t="s">
        <v>173</v>
      </c>
      <c r="Z13" s="17">
        <v>2.3421195132568347</v>
      </c>
      <c r="AA13" s="63">
        <v>-2.0407923529915299</v>
      </c>
      <c r="AB13" s="63">
        <v>24.782229411939799</v>
      </c>
      <c r="AC13" s="11">
        <v>-11.3321666529294</v>
      </c>
      <c r="AD13" s="63">
        <v>15.591473261986282</v>
      </c>
      <c r="AE13" s="17">
        <v>15.960910714623001</v>
      </c>
      <c r="AF13" s="64">
        <v>15.065893448420301</v>
      </c>
      <c r="AG13" s="64">
        <v>20.419714136280501</v>
      </c>
      <c r="AH13" s="54">
        <v>13.2921418253709</v>
      </c>
      <c r="AI13" s="71">
        <v>3.0941079254648955</v>
      </c>
      <c r="AJ13" s="11" t="s">
        <v>173</v>
      </c>
      <c r="AK13" s="14">
        <v>12.768000000000001</v>
      </c>
      <c r="AL13" s="14">
        <v>0.30499999999999999</v>
      </c>
      <c r="AM13" s="14">
        <v>0.314</v>
      </c>
      <c r="AN13" s="14">
        <v>39.9</v>
      </c>
      <c r="AO13" s="14">
        <v>50.279000000000003</v>
      </c>
      <c r="AP13" s="14">
        <v>59.127000000000002</v>
      </c>
      <c r="AQ13" s="14">
        <v>68.900000000000006</v>
      </c>
      <c r="AR13" s="14">
        <v>85.58</v>
      </c>
      <c r="AS13" s="14">
        <v>90.153000000000006</v>
      </c>
      <c r="AT13" s="14">
        <v>5.7619999999999996</v>
      </c>
      <c r="AU13" s="14">
        <v>12.103</v>
      </c>
      <c r="AV13" s="14">
        <v>15.856999999999999</v>
      </c>
      <c r="AW13" s="14">
        <v>22.132000000000001</v>
      </c>
      <c r="AX13" s="14">
        <v>28.795000000000002</v>
      </c>
      <c r="AY13" s="14">
        <v>34.280999999999999</v>
      </c>
      <c r="AZ13" s="14">
        <v>0.14199999999999999</v>
      </c>
      <c r="BA13" s="14">
        <v>0.27400000000000002</v>
      </c>
      <c r="BB13" s="14">
        <v>0.35599999999999998</v>
      </c>
      <c r="BC13" s="14">
        <v>0.45800000000000002</v>
      </c>
      <c r="BD13" s="14">
        <v>0.51600000000000001</v>
      </c>
      <c r="BE13" s="14">
        <v>0.61299999999999999</v>
      </c>
      <c r="BF13" s="14">
        <v>0.13700000000000001</v>
      </c>
      <c r="BG13" s="14">
        <v>0.26600000000000001</v>
      </c>
      <c r="BH13" s="14">
        <v>0.34499999999999997</v>
      </c>
      <c r="BI13" s="14">
        <v>0.44600000000000001</v>
      </c>
      <c r="BJ13" s="14">
        <v>0.51400000000000001</v>
      </c>
      <c r="BK13" s="14">
        <v>0.61099999999999999</v>
      </c>
      <c r="BL13" s="14">
        <v>771.24300000000005</v>
      </c>
      <c r="BM13" s="14">
        <v>878.19</v>
      </c>
      <c r="BN13" s="14">
        <v>942.45399999999995</v>
      </c>
      <c r="BO13" s="14">
        <v>1001.82</v>
      </c>
      <c r="BP13" s="14">
        <v>1035.18</v>
      </c>
      <c r="BQ13" s="14">
        <v>1122.46</v>
      </c>
      <c r="BR13" s="14">
        <v>9.2420000000000009</v>
      </c>
      <c r="BS13" s="14">
        <v>22.509</v>
      </c>
      <c r="BT13" s="14">
        <v>29.294</v>
      </c>
      <c r="BU13" s="14">
        <v>38.652999999999999</v>
      </c>
      <c r="BV13" s="14">
        <v>43.152000000000001</v>
      </c>
      <c r="BW13" s="14">
        <v>55.927</v>
      </c>
      <c r="BX13" s="14">
        <v>0.23599999999999999</v>
      </c>
      <c r="BY13" s="14">
        <v>0.52</v>
      </c>
      <c r="BZ13" s="14">
        <v>0.71</v>
      </c>
      <c r="CA13" s="14">
        <v>0.93100000000000005</v>
      </c>
      <c r="CB13" s="14">
        <v>1.0940000000000001</v>
      </c>
      <c r="CC13" s="14">
        <v>1.1439999999999999</v>
      </c>
      <c r="CD13" s="14">
        <v>0.224</v>
      </c>
      <c r="CE13" s="14">
        <v>0.50700000000000001</v>
      </c>
      <c r="CF13" s="14">
        <v>0.69799999999999995</v>
      </c>
      <c r="CG13" s="14">
        <v>0.88700000000000001</v>
      </c>
      <c r="CH13" s="14">
        <v>1.0680000000000001</v>
      </c>
      <c r="CI13" s="14">
        <v>1.1220000000000001</v>
      </c>
      <c r="CJ13" s="11" t="s">
        <v>173</v>
      </c>
    </row>
    <row r="14" spans="1:88" s="65" customFormat="1">
      <c r="A14" s="23" t="s">
        <v>175</v>
      </c>
      <c r="B14" s="65">
        <v>1972</v>
      </c>
      <c r="C14" s="23" t="s">
        <v>176</v>
      </c>
      <c r="D14" s="24">
        <v>2</v>
      </c>
      <c r="E14" s="23">
        <v>1</v>
      </c>
      <c r="F14" s="23">
        <v>4</v>
      </c>
      <c r="G14" s="23">
        <v>1</v>
      </c>
      <c r="H14" s="23">
        <v>1.3284223283101428</v>
      </c>
      <c r="I14" s="24">
        <v>4.1666666666666664E-2</v>
      </c>
      <c r="J14" s="23">
        <v>0</v>
      </c>
      <c r="K14" s="23">
        <v>0.25</v>
      </c>
      <c r="L14" s="23">
        <v>0</v>
      </c>
      <c r="M14" s="23">
        <v>9.4762255447362928E-2</v>
      </c>
      <c r="N14" s="24">
        <v>1.8333333333333333</v>
      </c>
      <c r="O14" s="23">
        <v>0</v>
      </c>
      <c r="P14" s="23">
        <v>9</v>
      </c>
      <c r="Q14" s="23">
        <v>0</v>
      </c>
      <c r="R14" s="23">
        <v>2.5063138660994357</v>
      </c>
      <c r="S14" s="24">
        <v>0.13333333333333333</v>
      </c>
      <c r="T14" s="23">
        <v>0</v>
      </c>
      <c r="U14" s="23">
        <v>0.5</v>
      </c>
      <c r="V14" s="23">
        <v>0</v>
      </c>
      <c r="W14" s="25">
        <v>0.22488822255440183</v>
      </c>
      <c r="X14" s="23">
        <v>7</v>
      </c>
      <c r="Y14" s="26" t="s">
        <v>175</v>
      </c>
      <c r="Z14" s="24">
        <v>-1.6278909334541678</v>
      </c>
      <c r="AA14" s="65">
        <v>5.8972314033014648</v>
      </c>
      <c r="AB14" s="65">
        <v>15.9168499818893</v>
      </c>
      <c r="AC14" s="23">
        <v>-34.222876522308901</v>
      </c>
      <c r="AD14" s="65">
        <v>22.237734279358399</v>
      </c>
      <c r="AE14" s="24">
        <v>21.29111646763365</v>
      </c>
      <c r="AF14" s="66">
        <v>13.729710411506769</v>
      </c>
      <c r="AG14" s="66">
        <v>52.8740399276275</v>
      </c>
      <c r="AH14" s="55">
        <v>4.8310051198935602</v>
      </c>
      <c r="AI14" s="72">
        <v>21.77245462713989</v>
      </c>
      <c r="AJ14" s="23" t="s">
        <v>175</v>
      </c>
      <c r="AK14" s="27">
        <v>70.816000000000003</v>
      </c>
      <c r="AL14" s="27">
        <v>2.9849999999999999</v>
      </c>
      <c r="AM14" s="27">
        <v>3.01</v>
      </c>
      <c r="AN14" s="27">
        <v>39.9</v>
      </c>
      <c r="AO14" s="27">
        <v>50.279000000000003</v>
      </c>
      <c r="AP14" s="27">
        <v>59.127000000000002</v>
      </c>
      <c r="AQ14" s="27">
        <v>68.900000000000006</v>
      </c>
      <c r="AR14" s="27">
        <v>85.58</v>
      </c>
      <c r="AS14" s="27">
        <v>90.153000000000006</v>
      </c>
      <c r="AT14" s="27">
        <v>16.777999999999999</v>
      </c>
      <c r="AU14" s="27">
        <v>25.908999999999999</v>
      </c>
      <c r="AV14" s="27">
        <v>29.908000000000001</v>
      </c>
      <c r="AW14" s="27">
        <v>41.945999999999998</v>
      </c>
      <c r="AX14" s="27">
        <v>56.442</v>
      </c>
      <c r="AY14" s="27">
        <v>58.997</v>
      </c>
      <c r="AZ14" s="27">
        <v>0.76600000000000001</v>
      </c>
      <c r="BA14" s="27">
        <v>1.216</v>
      </c>
      <c r="BB14" s="27">
        <v>1.5269999999999999</v>
      </c>
      <c r="BC14" s="27">
        <v>1.9379999999999999</v>
      </c>
      <c r="BD14" s="27">
        <v>2.1909999999999998</v>
      </c>
      <c r="BE14" s="27">
        <v>2.484</v>
      </c>
      <c r="BF14" s="27">
        <v>0.76500000000000001</v>
      </c>
      <c r="BG14" s="27">
        <v>1.2010000000000001</v>
      </c>
      <c r="BH14" s="27">
        <v>1.5269999999999999</v>
      </c>
      <c r="BI14" s="27">
        <v>1.927</v>
      </c>
      <c r="BJ14" s="27">
        <v>2.1890000000000001</v>
      </c>
      <c r="BK14" s="27">
        <v>2.4670000000000001</v>
      </c>
      <c r="BL14" s="27">
        <v>771.24300000000005</v>
      </c>
      <c r="BM14" s="27">
        <v>878.19</v>
      </c>
      <c r="BN14" s="27">
        <v>942.45399999999995</v>
      </c>
      <c r="BO14" s="27">
        <v>1001.82</v>
      </c>
      <c r="BP14" s="27">
        <v>1035.18</v>
      </c>
      <c r="BQ14" s="27">
        <v>1122.46</v>
      </c>
      <c r="BR14" s="27">
        <v>64.933999999999997</v>
      </c>
      <c r="BS14" s="27">
        <v>95.772000000000006</v>
      </c>
      <c r="BT14" s="27">
        <v>113.82299999999999</v>
      </c>
      <c r="BU14" s="27">
        <v>139.149</v>
      </c>
      <c r="BV14" s="27">
        <v>160.61500000000001</v>
      </c>
      <c r="BW14" s="27">
        <v>176.49</v>
      </c>
      <c r="BX14" s="27">
        <v>2.681</v>
      </c>
      <c r="BY14" s="27">
        <v>4.0129999999999999</v>
      </c>
      <c r="BZ14" s="27">
        <v>5.173</v>
      </c>
      <c r="CA14" s="27">
        <v>6.0129999999999999</v>
      </c>
      <c r="CB14" s="27">
        <v>6.8479999999999999</v>
      </c>
      <c r="CC14" s="27">
        <v>8.0660000000000007</v>
      </c>
      <c r="CD14" s="27">
        <v>2.653</v>
      </c>
      <c r="CE14" s="27">
        <v>3.9820000000000002</v>
      </c>
      <c r="CF14" s="27">
        <v>5.157</v>
      </c>
      <c r="CG14" s="27">
        <v>5.98</v>
      </c>
      <c r="CH14" s="27">
        <v>6.72</v>
      </c>
      <c r="CI14" s="27">
        <v>8.0050000000000008</v>
      </c>
      <c r="CJ14" s="23" t="s">
        <v>175</v>
      </c>
    </row>
    <row r="15" spans="1:88" s="65" customFormat="1">
      <c r="A15" s="23" t="s">
        <v>177</v>
      </c>
      <c r="B15" s="65">
        <v>1952.1</v>
      </c>
      <c r="C15" s="23" t="s">
        <v>178</v>
      </c>
      <c r="D15" s="24">
        <v>3.3333333333333335</v>
      </c>
      <c r="E15" s="23">
        <v>4</v>
      </c>
      <c r="F15" s="23">
        <v>5</v>
      </c>
      <c r="G15" s="23">
        <v>1</v>
      </c>
      <c r="H15" s="23">
        <v>1.4142135623730951</v>
      </c>
      <c r="I15" s="24">
        <v>1.8709677419354838</v>
      </c>
      <c r="J15" s="23">
        <v>1.75</v>
      </c>
      <c r="K15" s="23">
        <v>4.25</v>
      </c>
      <c r="L15" s="23">
        <v>0</v>
      </c>
      <c r="M15" s="23">
        <v>1.159868828327036</v>
      </c>
      <c r="N15" s="24">
        <v>1.1612903225806452</v>
      </c>
      <c r="O15" s="23">
        <v>0</v>
      </c>
      <c r="P15" s="23">
        <v>5</v>
      </c>
      <c r="Q15" s="23">
        <v>0</v>
      </c>
      <c r="R15" s="23">
        <v>1.4398327262463138</v>
      </c>
      <c r="S15" s="24">
        <v>3.2258064516129031E-2</v>
      </c>
      <c r="T15" s="23">
        <v>0</v>
      </c>
      <c r="U15" s="23">
        <v>0.5</v>
      </c>
      <c r="V15" s="23">
        <v>0</v>
      </c>
      <c r="W15" s="25">
        <v>0.12486551905735373</v>
      </c>
      <c r="X15" s="23">
        <v>39</v>
      </c>
      <c r="Y15" s="26" t="s">
        <v>177</v>
      </c>
      <c r="Z15" s="24">
        <v>-7.3483115732552262</v>
      </c>
      <c r="AA15" s="65">
        <v>-4.8030100245230098</v>
      </c>
      <c r="AB15" s="65">
        <v>-4.2720125920102703</v>
      </c>
      <c r="AC15" s="65">
        <v>-12.969912103232399</v>
      </c>
      <c r="AD15" s="65">
        <v>4.875682922146753</v>
      </c>
      <c r="AE15" s="67">
        <v>35.756706098972536</v>
      </c>
      <c r="AF15" s="66">
        <v>29.326987447419899</v>
      </c>
      <c r="AG15" s="66">
        <v>63.893168463111103</v>
      </c>
      <c r="AH15" s="66">
        <v>14.0499623863866</v>
      </c>
      <c r="AI15" s="72">
        <v>25.536097185265003</v>
      </c>
      <c r="AJ15" s="23" t="s">
        <v>177</v>
      </c>
      <c r="AK15" s="27">
        <v>22.059000000000001</v>
      </c>
      <c r="AL15" s="27">
        <v>0.46700000000000003</v>
      </c>
      <c r="AM15" s="27">
        <v>0.47299999999999998</v>
      </c>
      <c r="AN15" s="27">
        <v>39.9</v>
      </c>
      <c r="AO15" s="27">
        <v>50.279000000000003</v>
      </c>
      <c r="AP15" s="27">
        <v>59.127000000000002</v>
      </c>
      <c r="AQ15" s="27">
        <v>68.900000000000006</v>
      </c>
      <c r="AR15" s="27">
        <v>85.58</v>
      </c>
      <c r="AS15" s="27">
        <v>90.153000000000006</v>
      </c>
      <c r="AT15" s="27">
        <v>8.423</v>
      </c>
      <c r="AU15" s="27">
        <v>15.627000000000001</v>
      </c>
      <c r="AV15" s="27">
        <v>19.183</v>
      </c>
      <c r="AW15" s="27">
        <v>26.934000000000001</v>
      </c>
      <c r="AX15" s="27">
        <v>34.090000000000003</v>
      </c>
      <c r="AY15" s="27">
        <v>39.576000000000001</v>
      </c>
      <c r="AZ15" s="27">
        <v>0.18</v>
      </c>
      <c r="BA15" s="27">
        <v>0.32500000000000001</v>
      </c>
      <c r="BB15" s="27">
        <v>0.41399999999999998</v>
      </c>
      <c r="BC15" s="27">
        <v>0.53900000000000003</v>
      </c>
      <c r="BD15" s="27">
        <v>0.61099999999999999</v>
      </c>
      <c r="BE15" s="27">
        <v>0.7</v>
      </c>
      <c r="BF15" s="27">
        <v>0.17799999999999999</v>
      </c>
      <c r="BG15" s="27">
        <v>0.316</v>
      </c>
      <c r="BH15" s="27">
        <v>0.41399999999999998</v>
      </c>
      <c r="BI15" s="27">
        <v>0.53300000000000003</v>
      </c>
      <c r="BJ15" s="27">
        <v>0.61099999999999999</v>
      </c>
      <c r="BK15" s="27">
        <v>0.69</v>
      </c>
      <c r="BL15" s="27">
        <v>771.24300000000005</v>
      </c>
      <c r="BM15" s="27">
        <v>878.19</v>
      </c>
      <c r="BN15" s="27">
        <v>942.45399999999995</v>
      </c>
      <c r="BO15" s="27">
        <v>1001.82</v>
      </c>
      <c r="BP15" s="27">
        <v>1035.18</v>
      </c>
      <c r="BQ15" s="27">
        <v>1122.46</v>
      </c>
      <c r="BR15" s="27">
        <v>18.007999999999999</v>
      </c>
      <c r="BS15" s="27">
        <v>35.149000000000001</v>
      </c>
      <c r="BT15" s="27">
        <v>44.731000000000002</v>
      </c>
      <c r="BU15" s="27">
        <v>57.485999999999997</v>
      </c>
      <c r="BV15" s="27">
        <v>64.489999999999995</v>
      </c>
      <c r="BW15" s="27">
        <v>83.399000000000001</v>
      </c>
      <c r="BX15" s="27">
        <v>0.39600000000000002</v>
      </c>
      <c r="BY15" s="27">
        <v>0.71599999999999997</v>
      </c>
      <c r="BZ15" s="27">
        <v>0.97399999999999998</v>
      </c>
      <c r="CA15" s="27">
        <v>1.175</v>
      </c>
      <c r="CB15" s="27">
        <v>1.4179999999999999</v>
      </c>
      <c r="CC15" s="27">
        <v>1.595</v>
      </c>
      <c r="CD15" s="27">
        <v>0.38900000000000001</v>
      </c>
      <c r="CE15" s="27">
        <v>0.71399999999999997</v>
      </c>
      <c r="CF15" s="27">
        <v>0.96</v>
      </c>
      <c r="CG15" s="27">
        <v>1.157</v>
      </c>
      <c r="CH15" s="27">
        <v>1.397</v>
      </c>
      <c r="CI15" s="27">
        <v>1.5760000000000001</v>
      </c>
      <c r="CJ15" s="23" t="s">
        <v>177</v>
      </c>
    </row>
    <row r="16" spans="1:88" s="65" customFormat="1">
      <c r="A16" s="23" t="s">
        <v>179</v>
      </c>
      <c r="B16" s="65">
        <v>1476</v>
      </c>
      <c r="C16" s="23" t="s">
        <v>176</v>
      </c>
      <c r="D16" s="24">
        <v>3.6666666666666665</v>
      </c>
      <c r="E16" s="23">
        <v>4</v>
      </c>
      <c r="F16" s="23">
        <v>6</v>
      </c>
      <c r="G16" s="23">
        <v>1</v>
      </c>
      <c r="H16" s="23">
        <v>2.1962534944228786</v>
      </c>
      <c r="I16" s="24">
        <v>2.282258064516129</v>
      </c>
      <c r="J16" s="23">
        <v>2</v>
      </c>
      <c r="K16" s="23">
        <v>4.5</v>
      </c>
      <c r="L16" s="23">
        <v>0</v>
      </c>
      <c r="M16" s="23">
        <v>1.3161527512094213</v>
      </c>
      <c r="N16" s="24">
        <v>6.8</v>
      </c>
      <c r="O16" s="23">
        <v>0.5</v>
      </c>
      <c r="P16" s="23">
        <v>98</v>
      </c>
      <c r="Q16" s="23">
        <v>0</v>
      </c>
      <c r="R16" s="23">
        <v>22.748095789954938</v>
      </c>
      <c r="S16" s="24">
        <v>0.21666666666666667</v>
      </c>
      <c r="T16" s="23">
        <v>0</v>
      </c>
      <c r="U16" s="23">
        <v>2</v>
      </c>
      <c r="V16" s="23">
        <v>0</v>
      </c>
      <c r="W16" s="25">
        <v>0.53632422857905604</v>
      </c>
      <c r="X16" s="23">
        <v>24</v>
      </c>
      <c r="Y16" s="26" t="s">
        <v>179</v>
      </c>
      <c r="Z16" s="24">
        <v>16.664996167927157</v>
      </c>
      <c r="AA16" s="65">
        <v>16.857850732950425</v>
      </c>
      <c r="AB16" s="65">
        <v>37.669181357444998</v>
      </c>
      <c r="AC16" s="23">
        <v>-4.7248981516372197</v>
      </c>
      <c r="AD16" s="65">
        <v>22.211868041812355</v>
      </c>
      <c r="AE16" s="67">
        <v>17.602987828218414</v>
      </c>
      <c r="AF16" s="66">
        <v>20.059701018269401</v>
      </c>
      <c r="AG16" s="66">
        <v>21.052396601755198</v>
      </c>
      <c r="AH16" s="66">
        <v>9.2401526745796492</v>
      </c>
      <c r="AI16" s="72">
        <v>5.5986429456734337</v>
      </c>
      <c r="AJ16" s="23" t="s">
        <v>179</v>
      </c>
      <c r="AK16" s="27">
        <v>43.011000000000003</v>
      </c>
      <c r="AL16" s="27">
        <v>0.71299999999999997</v>
      </c>
      <c r="AM16" s="27">
        <v>0.72299999999999998</v>
      </c>
      <c r="AN16" s="27">
        <v>39.9</v>
      </c>
      <c r="AO16" s="27">
        <v>50.279000000000003</v>
      </c>
      <c r="AP16" s="27">
        <v>59.127000000000002</v>
      </c>
      <c r="AQ16" s="27">
        <v>68.900000000000006</v>
      </c>
      <c r="AR16" s="27">
        <v>85.58</v>
      </c>
      <c r="AS16" s="27">
        <v>90.153000000000006</v>
      </c>
      <c r="AT16" s="27">
        <v>12.9</v>
      </c>
      <c r="AU16" s="27">
        <v>21.472999999999999</v>
      </c>
      <c r="AV16" s="27">
        <v>26.449000000000002</v>
      </c>
      <c r="AW16" s="27">
        <v>35.570999999999998</v>
      </c>
      <c r="AX16" s="27">
        <v>49.905000000000001</v>
      </c>
      <c r="AY16" s="27">
        <v>53.518000000000001</v>
      </c>
      <c r="AZ16" s="27">
        <v>0.217</v>
      </c>
      <c r="BA16" s="27">
        <v>0.35199999999999998</v>
      </c>
      <c r="BB16" s="27">
        <v>0.45400000000000001</v>
      </c>
      <c r="BC16" s="27">
        <v>0.60199999999999998</v>
      </c>
      <c r="BD16" s="27">
        <v>0.67900000000000005</v>
      </c>
      <c r="BE16" s="27">
        <v>0.71099999999999997</v>
      </c>
      <c r="BF16" s="27">
        <v>0.216</v>
      </c>
      <c r="BG16" s="27">
        <v>0.34799999999999998</v>
      </c>
      <c r="BH16" s="27">
        <v>0.45200000000000001</v>
      </c>
      <c r="BI16" s="27">
        <v>0.59699999999999998</v>
      </c>
      <c r="BJ16" s="27">
        <v>0.65900000000000003</v>
      </c>
      <c r="BK16" s="27">
        <v>0.70899999999999996</v>
      </c>
      <c r="BL16" s="27">
        <v>771.24300000000005</v>
      </c>
      <c r="BM16" s="27">
        <v>878.19</v>
      </c>
      <c r="BN16" s="27">
        <v>942.45399999999995</v>
      </c>
      <c r="BO16" s="27">
        <v>1001.82</v>
      </c>
      <c r="BP16" s="27">
        <v>1035.18</v>
      </c>
      <c r="BQ16" s="27">
        <v>1122.46</v>
      </c>
      <c r="BR16" s="27">
        <v>36.664999999999999</v>
      </c>
      <c r="BS16" s="27">
        <v>62.253</v>
      </c>
      <c r="BT16" s="27">
        <v>77.546000000000006</v>
      </c>
      <c r="BU16" s="27">
        <v>94.08</v>
      </c>
      <c r="BV16" s="27">
        <v>117.235</v>
      </c>
      <c r="BW16" s="27">
        <v>127.039</v>
      </c>
      <c r="BX16" s="27">
        <v>0.63500000000000001</v>
      </c>
      <c r="BY16" s="27">
        <v>0.997</v>
      </c>
      <c r="BZ16" s="27">
        <v>1.31</v>
      </c>
      <c r="CA16" s="27">
        <v>1.5609999999999999</v>
      </c>
      <c r="CB16" s="27">
        <v>1.8280000000000001</v>
      </c>
      <c r="CC16" s="27">
        <v>2.109</v>
      </c>
      <c r="CD16" s="27">
        <v>0.627</v>
      </c>
      <c r="CE16" s="27">
        <v>0.98599999999999999</v>
      </c>
      <c r="CF16" s="27">
        <v>1.2929999999999999</v>
      </c>
      <c r="CG16" s="27">
        <v>1.5449999999999999</v>
      </c>
      <c r="CH16" s="27">
        <v>1.7949999999999999</v>
      </c>
      <c r="CI16" s="27">
        <v>2.1</v>
      </c>
      <c r="CJ16" s="23" t="s">
        <v>179</v>
      </c>
    </row>
    <row r="17" s="56" customForma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CF6D-A1D4-4138-8734-1DDF90367479}">
  <dimension ref="A1:BN32"/>
  <sheetViews>
    <sheetView tabSelected="1" workbookViewId="0">
      <selection activeCell="D20" sqref="D20"/>
    </sheetView>
  </sheetViews>
  <sheetFormatPr defaultRowHeight="15"/>
  <cols>
    <col min="1" max="1" width="14.28515625" customWidth="1"/>
    <col min="2" max="2" width="17" bestFit="1" customWidth="1"/>
    <col min="3" max="3" width="24.5703125" bestFit="1" customWidth="1"/>
    <col min="4" max="4" width="36.5703125" bestFit="1" customWidth="1"/>
    <col min="5" max="5" width="19.7109375" bestFit="1" customWidth="1"/>
    <col min="6" max="6" width="18.140625" bestFit="1" customWidth="1"/>
    <col min="7" max="7" width="13" bestFit="1" customWidth="1"/>
    <col min="8" max="8" width="12.5703125" bestFit="1" customWidth="1"/>
    <col min="9" max="9" width="13" bestFit="1" customWidth="1"/>
    <col min="10" max="10" width="22.5703125" bestFit="1" customWidth="1"/>
    <col min="11" max="11" width="19.85546875" bestFit="1" customWidth="1"/>
    <col min="12" max="12" width="25.140625" bestFit="1" customWidth="1"/>
    <col min="13" max="13" width="25.140625" customWidth="1"/>
    <col min="14" max="14" width="26.140625" bestFit="1" customWidth="1"/>
    <col min="15" max="15" width="20.85546875" bestFit="1" customWidth="1"/>
    <col min="16" max="16" width="30.28515625" bestFit="1" customWidth="1"/>
    <col min="17" max="17" width="24.5703125" bestFit="1" customWidth="1"/>
    <col min="18" max="19" width="19.85546875" bestFit="1" customWidth="1"/>
    <col min="20" max="22" width="21" bestFit="1" customWidth="1"/>
    <col min="23" max="25" width="22" bestFit="1" customWidth="1"/>
    <col min="26" max="28" width="23" bestFit="1" customWidth="1"/>
    <col min="29" max="29" width="24.140625" bestFit="1" customWidth="1"/>
    <col min="30" max="31" width="22.85546875" bestFit="1" customWidth="1"/>
    <col min="32" max="34" width="24" bestFit="1" customWidth="1"/>
    <col min="35" max="35" width="25" bestFit="1" customWidth="1"/>
    <col min="36" max="37" width="23.42578125" bestFit="1" customWidth="1"/>
    <col min="38" max="40" width="24.5703125" bestFit="1" customWidth="1"/>
    <col min="41" max="41" width="25.7109375" bestFit="1" customWidth="1"/>
    <col min="42" max="43" width="16.28515625" bestFit="1" customWidth="1"/>
    <col min="44" max="46" width="17.28515625" bestFit="1" customWidth="1"/>
    <col min="47" max="47" width="18.42578125" bestFit="1" customWidth="1"/>
    <col min="48" max="49" width="18.28515625" bestFit="1" customWidth="1"/>
    <col min="50" max="52" width="19.42578125" bestFit="1" customWidth="1"/>
    <col min="53" max="53" width="20.42578125" bestFit="1" customWidth="1"/>
    <col min="54" max="55" width="19.28515625" bestFit="1" customWidth="1"/>
    <col min="56" max="58" width="20.28515625" bestFit="1" customWidth="1"/>
    <col min="59" max="59" width="21.42578125" bestFit="1" customWidth="1"/>
    <col min="60" max="61" width="19.85546875" bestFit="1" customWidth="1"/>
    <col min="62" max="64" width="20.85546875" bestFit="1" customWidth="1"/>
    <col min="65" max="65" width="22" bestFit="1" customWidth="1"/>
  </cols>
  <sheetData>
    <row r="1" spans="1:66" s="8" customFormat="1" ht="29.25">
      <c r="A1" s="35" t="s">
        <v>180</v>
      </c>
      <c r="B1" s="35" t="s">
        <v>181</v>
      </c>
      <c r="C1" s="35" t="s">
        <v>182</v>
      </c>
      <c r="D1" s="36" t="s">
        <v>183</v>
      </c>
      <c r="E1" s="35" t="s">
        <v>184</v>
      </c>
      <c r="F1" s="35" t="s">
        <v>185</v>
      </c>
      <c r="G1" s="35" t="s">
        <v>186</v>
      </c>
      <c r="H1" s="35" t="s">
        <v>187</v>
      </c>
      <c r="I1" s="35" t="s">
        <v>188</v>
      </c>
      <c r="J1" s="35" t="s">
        <v>189</v>
      </c>
      <c r="K1" s="35" t="s">
        <v>190</v>
      </c>
      <c r="L1" s="35" t="s">
        <v>191</v>
      </c>
      <c r="M1" s="35"/>
      <c r="N1" s="35" t="s">
        <v>192</v>
      </c>
      <c r="O1" s="35" t="s">
        <v>193</v>
      </c>
      <c r="P1" s="35" t="s">
        <v>194</v>
      </c>
      <c r="Q1" s="35" t="s">
        <v>109</v>
      </c>
      <c r="R1" s="35" t="s">
        <v>110</v>
      </c>
      <c r="S1" s="35" t="s">
        <v>111</v>
      </c>
      <c r="T1" s="35" t="s">
        <v>112</v>
      </c>
      <c r="U1" s="35" t="s">
        <v>113</v>
      </c>
      <c r="V1" s="35" t="s">
        <v>114</v>
      </c>
      <c r="W1" s="35" t="s">
        <v>115</v>
      </c>
      <c r="X1" s="35" t="s">
        <v>116</v>
      </c>
      <c r="Y1" s="35" t="s">
        <v>117</v>
      </c>
      <c r="Z1" s="35" t="s">
        <v>118</v>
      </c>
      <c r="AA1" s="35" t="s">
        <v>119</v>
      </c>
      <c r="AB1" s="35" t="s">
        <v>120</v>
      </c>
      <c r="AC1" s="37" t="s">
        <v>121</v>
      </c>
      <c r="AD1" s="37" t="s">
        <v>122</v>
      </c>
      <c r="AE1" s="37" t="s">
        <v>123</v>
      </c>
      <c r="AF1" s="37" t="s">
        <v>124</v>
      </c>
      <c r="AG1" s="37" t="s">
        <v>125</v>
      </c>
      <c r="AH1" s="37" t="s">
        <v>126</v>
      </c>
      <c r="AI1" s="37" t="s">
        <v>127</v>
      </c>
      <c r="AJ1" s="37" t="s">
        <v>128</v>
      </c>
      <c r="AK1" s="37" t="s">
        <v>129</v>
      </c>
      <c r="AL1" s="37" t="s">
        <v>130</v>
      </c>
      <c r="AM1" s="37" t="s">
        <v>131</v>
      </c>
      <c r="AN1" s="37" t="s">
        <v>132</v>
      </c>
      <c r="AO1" s="37" t="s">
        <v>133</v>
      </c>
      <c r="AP1" s="37" t="s">
        <v>134</v>
      </c>
      <c r="AQ1" s="37" t="s">
        <v>135</v>
      </c>
      <c r="AR1" s="37" t="s">
        <v>136</v>
      </c>
      <c r="AS1" s="37" t="s">
        <v>137</v>
      </c>
      <c r="AT1" s="37" t="s">
        <v>138</v>
      </c>
      <c r="AU1" s="37" t="s">
        <v>139</v>
      </c>
      <c r="AV1" s="37" t="s">
        <v>140</v>
      </c>
      <c r="AW1" s="37" t="s">
        <v>141</v>
      </c>
      <c r="AX1" s="37" t="s">
        <v>142</v>
      </c>
      <c r="AY1" s="37" t="s">
        <v>143</v>
      </c>
      <c r="AZ1" s="37" t="s">
        <v>144</v>
      </c>
      <c r="BA1" s="37" t="s">
        <v>145</v>
      </c>
      <c r="BB1" s="37" t="s">
        <v>146</v>
      </c>
      <c r="BC1" s="37" t="s">
        <v>147</v>
      </c>
      <c r="BD1" s="37" t="s">
        <v>148</v>
      </c>
      <c r="BE1" s="37" t="s">
        <v>149</v>
      </c>
      <c r="BF1" s="37" t="s">
        <v>150</v>
      </c>
      <c r="BG1" s="37" t="s">
        <v>151</v>
      </c>
      <c r="BH1" s="37" t="s">
        <v>152</v>
      </c>
      <c r="BI1" s="37" t="s">
        <v>153</v>
      </c>
      <c r="BJ1" s="37" t="s">
        <v>154</v>
      </c>
      <c r="BK1" s="37" t="s">
        <v>155</v>
      </c>
      <c r="BL1" s="37" t="s">
        <v>156</v>
      </c>
    </row>
    <row r="2" spans="1:66" s="8" customFormat="1">
      <c r="A2" s="38" t="s">
        <v>161</v>
      </c>
      <c r="B2" s="39">
        <v>26</v>
      </c>
      <c r="C2" s="39">
        <v>20.68</v>
      </c>
      <c r="D2" s="39">
        <v>79.31</v>
      </c>
      <c r="E2" s="39">
        <v>0</v>
      </c>
      <c r="F2" s="39">
        <v>0</v>
      </c>
      <c r="G2" s="39">
        <v>93.54</v>
      </c>
      <c r="H2" s="39">
        <v>3.22</v>
      </c>
      <c r="I2" s="39">
        <v>0</v>
      </c>
      <c r="J2" s="39">
        <v>0</v>
      </c>
      <c r="K2" s="39">
        <v>96.76</v>
      </c>
      <c r="L2" s="39">
        <v>781.029</v>
      </c>
      <c r="M2" s="38" t="s">
        <v>161</v>
      </c>
      <c r="N2" s="39">
        <v>3.173</v>
      </c>
      <c r="O2" s="39">
        <v>6.8000000000000005E-2</v>
      </c>
      <c r="P2" s="39">
        <v>7.0000000000000007E-2</v>
      </c>
      <c r="Q2" s="39">
        <v>39.9</v>
      </c>
      <c r="R2" s="39">
        <v>50.279000000000003</v>
      </c>
      <c r="S2" s="39">
        <v>59.127000000000002</v>
      </c>
      <c r="T2" s="39">
        <v>68.900000000000006</v>
      </c>
      <c r="U2" s="39">
        <v>85.58</v>
      </c>
      <c r="V2" s="39">
        <v>90.153000000000006</v>
      </c>
      <c r="W2" s="39">
        <v>0.93400000000000005</v>
      </c>
      <c r="X2" s="39">
        <v>4.5510000000000002</v>
      </c>
      <c r="Y2" s="39">
        <v>7.34</v>
      </c>
      <c r="Z2" s="39">
        <v>11.031000000000001</v>
      </c>
      <c r="AA2" s="39">
        <v>14.08</v>
      </c>
      <c r="AB2" s="39">
        <v>15.157</v>
      </c>
      <c r="AC2" s="39">
        <v>0.03</v>
      </c>
      <c r="AD2" s="39">
        <v>9.5000000000000001E-2</v>
      </c>
      <c r="AE2" s="39">
        <v>0.152</v>
      </c>
      <c r="AF2" s="39">
        <v>0.20399999999999999</v>
      </c>
      <c r="AG2" s="39">
        <v>0.245</v>
      </c>
      <c r="AH2" s="39">
        <v>0.32600000000000001</v>
      </c>
      <c r="AI2" s="39">
        <v>2.9000000000000001E-2</v>
      </c>
      <c r="AJ2" s="39">
        <v>0.09</v>
      </c>
      <c r="AK2" s="39">
        <v>0.14299999999999999</v>
      </c>
      <c r="AL2" s="39">
        <v>0.2</v>
      </c>
      <c r="AM2" s="39">
        <v>0.23899999999999999</v>
      </c>
      <c r="AN2" s="39">
        <v>0.309</v>
      </c>
      <c r="AO2" s="39">
        <v>771.24300000000005</v>
      </c>
      <c r="AP2" s="39">
        <v>878.19</v>
      </c>
      <c r="AQ2" s="39">
        <v>942.45399999999995</v>
      </c>
      <c r="AR2" s="39">
        <v>1001.82</v>
      </c>
      <c r="AS2" s="39">
        <v>1035.18</v>
      </c>
      <c r="AT2" s="39">
        <v>1122.46</v>
      </c>
      <c r="AU2" s="39">
        <v>1.1839999999999999</v>
      </c>
      <c r="AV2" s="39">
        <v>5.4029999999999996</v>
      </c>
      <c r="AW2" s="39">
        <v>10.618</v>
      </c>
      <c r="AX2" s="39">
        <v>14.334</v>
      </c>
      <c r="AY2" s="39">
        <v>16.277999999999999</v>
      </c>
      <c r="AZ2" s="39">
        <v>18.417999999999999</v>
      </c>
      <c r="BA2" s="39">
        <v>3.5000000000000003E-2</v>
      </c>
      <c r="BB2" s="39">
        <v>0.123</v>
      </c>
      <c r="BC2" s="39">
        <v>0.21099999999999999</v>
      </c>
      <c r="BD2" s="39">
        <v>0.28199999999999997</v>
      </c>
      <c r="BE2" s="39">
        <v>0.33900000000000002</v>
      </c>
      <c r="BF2" s="39">
        <v>0.36699999999999999</v>
      </c>
      <c r="BG2" s="39">
        <v>3.4000000000000002E-2</v>
      </c>
      <c r="BH2" s="39">
        <v>0.11899999999999999</v>
      </c>
      <c r="BI2" s="39">
        <v>0.20300000000000001</v>
      </c>
      <c r="BJ2" s="39">
        <v>0.27900000000000003</v>
      </c>
      <c r="BK2" s="39">
        <v>0.33300000000000002</v>
      </c>
      <c r="BL2" s="39">
        <v>0.36099999999999999</v>
      </c>
      <c r="BM2" s="34"/>
    </row>
    <row r="3" spans="1:66" s="8" customFormat="1">
      <c r="A3" s="38" t="s">
        <v>165</v>
      </c>
      <c r="B3" s="39">
        <v>26</v>
      </c>
      <c r="C3" s="39">
        <v>55.17</v>
      </c>
      <c r="D3" s="39">
        <v>13.79</v>
      </c>
      <c r="E3" s="39">
        <v>0</v>
      </c>
      <c r="F3" s="39">
        <v>68.959999999999994</v>
      </c>
      <c r="G3" s="39">
        <v>93.75</v>
      </c>
      <c r="H3" s="39">
        <v>0</v>
      </c>
      <c r="I3" s="39">
        <v>0</v>
      </c>
      <c r="J3" s="39">
        <v>0</v>
      </c>
      <c r="K3" s="39">
        <v>93.75</v>
      </c>
      <c r="L3" s="39">
        <v>781.029</v>
      </c>
      <c r="M3" s="38" t="s">
        <v>165</v>
      </c>
      <c r="N3" s="39">
        <v>19.443999999999999</v>
      </c>
      <c r="O3" s="39">
        <v>0.433</v>
      </c>
      <c r="P3" s="39">
        <v>0.44800000000000001</v>
      </c>
      <c r="Q3" s="39">
        <v>39.9</v>
      </c>
      <c r="R3" s="39">
        <v>50.279000000000003</v>
      </c>
      <c r="S3" s="39">
        <v>59.127000000000002</v>
      </c>
      <c r="T3" s="39">
        <v>68.900000000000006</v>
      </c>
      <c r="U3" s="39">
        <v>85.58</v>
      </c>
      <c r="V3" s="39">
        <v>90.153000000000006</v>
      </c>
      <c r="W3" s="39">
        <v>7.8360000000000003</v>
      </c>
      <c r="X3" s="39">
        <v>15.403</v>
      </c>
      <c r="Y3" s="39">
        <v>18.631</v>
      </c>
      <c r="Z3" s="39">
        <v>26.742000000000001</v>
      </c>
      <c r="AA3" s="39">
        <v>36.396000000000001</v>
      </c>
      <c r="AB3" s="39">
        <v>44.960999999999999</v>
      </c>
      <c r="AC3" s="39">
        <v>0.17599999999999999</v>
      </c>
      <c r="AD3" s="39">
        <v>0.315</v>
      </c>
      <c r="AE3" s="39">
        <v>0.441</v>
      </c>
      <c r="AF3" s="39">
        <v>0.56200000000000006</v>
      </c>
      <c r="AG3" s="39">
        <v>0.64900000000000002</v>
      </c>
      <c r="AH3" s="39">
        <v>0.8</v>
      </c>
      <c r="AI3" s="39">
        <v>0.17100000000000001</v>
      </c>
      <c r="AJ3" s="39">
        <v>0.30599999999999999</v>
      </c>
      <c r="AK3" s="39">
        <v>0.42599999999999999</v>
      </c>
      <c r="AL3" s="39">
        <v>0.55600000000000005</v>
      </c>
      <c r="AM3" s="39">
        <v>0.61299999999999999</v>
      </c>
      <c r="AN3" s="39">
        <v>0.75700000000000001</v>
      </c>
      <c r="AO3" s="39">
        <v>771.24300000000005</v>
      </c>
      <c r="AP3" s="39">
        <v>878.19</v>
      </c>
      <c r="AQ3" s="39">
        <v>942.45399999999995</v>
      </c>
      <c r="AR3" s="39">
        <v>1001.82</v>
      </c>
      <c r="AS3" s="39">
        <v>1035.18</v>
      </c>
      <c r="AT3" s="39">
        <v>1122.46</v>
      </c>
      <c r="AU3" s="39">
        <v>15.231999999999999</v>
      </c>
      <c r="AV3" s="39">
        <v>32.134</v>
      </c>
      <c r="AW3" s="39">
        <v>41.505000000000003</v>
      </c>
      <c r="AX3" s="39">
        <v>54.103999999999999</v>
      </c>
      <c r="AY3" s="39">
        <v>59.052</v>
      </c>
      <c r="AZ3" s="39">
        <v>83.245000000000005</v>
      </c>
      <c r="BA3" s="39">
        <v>0.36</v>
      </c>
      <c r="BB3" s="39">
        <v>0.71</v>
      </c>
      <c r="BC3" s="39">
        <v>0.92300000000000004</v>
      </c>
      <c r="BD3" s="39">
        <v>1.1839999999999999</v>
      </c>
      <c r="BE3" s="39">
        <v>1.43</v>
      </c>
      <c r="BF3" s="39">
        <v>1.611</v>
      </c>
      <c r="BG3" s="39">
        <v>0.33800000000000002</v>
      </c>
      <c r="BH3" s="39">
        <v>0.68400000000000005</v>
      </c>
      <c r="BI3" s="39">
        <v>0.89500000000000002</v>
      </c>
      <c r="BJ3" s="39">
        <v>1.1439999999999999</v>
      </c>
      <c r="BK3" s="39">
        <v>1.379</v>
      </c>
      <c r="BL3" s="39">
        <v>1.583</v>
      </c>
      <c r="BM3" s="34"/>
    </row>
    <row r="4" spans="1:66" s="8" customFormat="1">
      <c r="A4" s="40" t="s">
        <v>195</v>
      </c>
      <c r="B4" s="39">
        <v>26</v>
      </c>
      <c r="C4" s="39">
        <v>62.5</v>
      </c>
      <c r="D4" s="39">
        <v>25</v>
      </c>
      <c r="E4" s="39">
        <v>12.5</v>
      </c>
      <c r="F4" s="39">
        <v>100</v>
      </c>
      <c r="G4" s="39">
        <v>53.33</v>
      </c>
      <c r="H4" s="39">
        <v>3.33</v>
      </c>
      <c r="I4" s="39">
        <v>36.659999999999997</v>
      </c>
      <c r="J4" s="39">
        <v>0</v>
      </c>
      <c r="K4" s="39">
        <v>93.32</v>
      </c>
      <c r="L4" s="39">
        <v>781.029</v>
      </c>
      <c r="M4" s="40" t="s">
        <v>163</v>
      </c>
      <c r="N4" s="39">
        <v>20.8</v>
      </c>
      <c r="O4" s="39">
        <v>0.3</v>
      </c>
      <c r="P4" s="39">
        <v>0.309</v>
      </c>
      <c r="Q4" s="39">
        <v>39.9</v>
      </c>
      <c r="R4" s="39">
        <v>50.279000000000003</v>
      </c>
      <c r="S4" s="39">
        <v>59.127000000000002</v>
      </c>
      <c r="T4" s="39">
        <v>68.900000000000006</v>
      </c>
      <c r="U4" s="39">
        <v>85.58</v>
      </c>
      <c r="V4" s="39">
        <v>90.153000000000006</v>
      </c>
      <c r="W4" s="39">
        <v>8.1839999999999993</v>
      </c>
      <c r="X4" s="39">
        <v>15.744</v>
      </c>
      <c r="Y4" s="39">
        <v>19.012</v>
      </c>
      <c r="Z4" s="39">
        <v>27.145</v>
      </c>
      <c r="AA4" s="39">
        <v>37.148000000000003</v>
      </c>
      <c r="AB4" s="39">
        <v>45.424999999999997</v>
      </c>
      <c r="AC4" s="39">
        <v>0.121</v>
      </c>
      <c r="AD4" s="39">
        <v>0.214</v>
      </c>
      <c r="AE4" s="39">
        <v>0.28699999999999998</v>
      </c>
      <c r="AF4" s="39">
        <v>0.38300000000000001</v>
      </c>
      <c r="AG4" s="39">
        <v>0.42599999999999999</v>
      </c>
      <c r="AH4" s="39">
        <v>0.45600000000000002</v>
      </c>
      <c r="AI4" s="39">
        <v>0.11700000000000001</v>
      </c>
      <c r="AJ4" s="39">
        <v>0.21099999999999999</v>
      </c>
      <c r="AK4" s="39">
        <v>0.28599999999999998</v>
      </c>
      <c r="AL4" s="39">
        <v>0.36699999999999999</v>
      </c>
      <c r="AM4" s="39">
        <v>0.41599999999999998</v>
      </c>
      <c r="AN4" s="39">
        <v>0.45600000000000002</v>
      </c>
      <c r="AO4" s="39">
        <v>771.24300000000005</v>
      </c>
      <c r="AP4" s="39">
        <v>878.19</v>
      </c>
      <c r="AQ4" s="39">
        <v>942.45399999999995</v>
      </c>
      <c r="AR4" s="39">
        <v>1001.82</v>
      </c>
      <c r="AS4" s="39">
        <v>1035.18</v>
      </c>
      <c r="AT4" s="39">
        <v>1122.46</v>
      </c>
      <c r="AU4" s="39">
        <v>16.376000000000001</v>
      </c>
      <c r="AV4" s="39">
        <v>33.969000000000001</v>
      </c>
      <c r="AW4" s="39">
        <v>43.654000000000003</v>
      </c>
      <c r="AX4" s="39">
        <v>57.281999999999996</v>
      </c>
      <c r="AY4" s="39">
        <v>62.423999999999999</v>
      </c>
      <c r="AZ4" s="39">
        <v>85.975999999999999</v>
      </c>
      <c r="BA4" s="39">
        <v>0.25700000000000001</v>
      </c>
      <c r="BB4" s="39">
        <v>0.48399999999999999</v>
      </c>
      <c r="BC4" s="39">
        <v>0.65100000000000002</v>
      </c>
      <c r="BD4" s="39">
        <v>0.78100000000000003</v>
      </c>
      <c r="BE4" s="39">
        <v>0.92800000000000005</v>
      </c>
      <c r="BF4" s="39">
        <v>1.153</v>
      </c>
      <c r="BG4" s="39">
        <v>0.24</v>
      </c>
      <c r="BH4" s="39">
        <v>0.47299999999999998</v>
      </c>
      <c r="BI4" s="39">
        <v>0.623</v>
      </c>
      <c r="BJ4" s="39">
        <v>0.76200000000000001</v>
      </c>
      <c r="BK4" s="39">
        <v>0.90100000000000002</v>
      </c>
      <c r="BL4" s="39">
        <v>1.1379999999999999</v>
      </c>
      <c r="BM4" s="34"/>
    </row>
    <row r="5" spans="1:66" s="8" customFormat="1">
      <c r="A5" s="38" t="s">
        <v>167</v>
      </c>
      <c r="B5" s="39">
        <v>26</v>
      </c>
      <c r="C5" s="39">
        <v>0</v>
      </c>
      <c r="D5" s="39">
        <v>21.42</v>
      </c>
      <c r="E5" s="39">
        <v>0</v>
      </c>
      <c r="F5" s="39">
        <v>78.540000000000006</v>
      </c>
      <c r="G5" s="39">
        <v>99.96</v>
      </c>
      <c r="H5" s="39">
        <v>10</v>
      </c>
      <c r="I5" s="39">
        <v>0</v>
      </c>
      <c r="J5" s="39">
        <v>0</v>
      </c>
      <c r="K5" s="39">
        <v>70</v>
      </c>
      <c r="L5" s="39">
        <v>781.029</v>
      </c>
      <c r="M5" s="38" t="s">
        <v>167</v>
      </c>
      <c r="N5" s="39">
        <v>34.655000000000001</v>
      </c>
      <c r="O5" s="39">
        <v>0.55600000000000005</v>
      </c>
      <c r="P5" s="39">
        <v>0.56599999999999995</v>
      </c>
      <c r="Q5" s="39">
        <v>39.9</v>
      </c>
      <c r="R5" s="39">
        <v>50.279000000000003</v>
      </c>
      <c r="S5" s="39">
        <v>59.127000000000002</v>
      </c>
      <c r="T5" s="39">
        <v>68.900000000000006</v>
      </c>
      <c r="U5" s="39">
        <v>85.58</v>
      </c>
      <c r="V5" s="39">
        <v>90.153000000000006</v>
      </c>
      <c r="W5" s="39">
        <v>11.269</v>
      </c>
      <c r="X5" s="39">
        <v>19.859000000000002</v>
      </c>
      <c r="Y5" s="39">
        <v>23.161000000000001</v>
      </c>
      <c r="Z5" s="39">
        <v>31.158000000000001</v>
      </c>
      <c r="AA5" s="39">
        <v>45.139000000000003</v>
      </c>
      <c r="AB5" s="39">
        <v>51.017000000000003</v>
      </c>
      <c r="AC5" s="39">
        <v>0.185</v>
      </c>
      <c r="AD5" s="39">
        <v>0.30499999999999999</v>
      </c>
      <c r="AE5" s="39">
        <v>0.39900000000000002</v>
      </c>
      <c r="AF5" s="39">
        <v>0.52800000000000002</v>
      </c>
      <c r="AG5" s="39">
        <v>0.59499999999999997</v>
      </c>
      <c r="AH5" s="39">
        <v>0.62</v>
      </c>
      <c r="AI5" s="39">
        <v>0.183</v>
      </c>
      <c r="AJ5" s="39">
        <v>0.30299999999999999</v>
      </c>
      <c r="AK5" s="39">
        <v>0.39700000000000002</v>
      </c>
      <c r="AL5" s="39">
        <v>0.52100000000000002</v>
      </c>
      <c r="AM5" s="39">
        <v>0.57699999999999996</v>
      </c>
      <c r="AN5" s="39">
        <v>0.62</v>
      </c>
      <c r="AO5" s="39">
        <v>771.24300000000005</v>
      </c>
      <c r="AP5" s="39">
        <v>878.19</v>
      </c>
      <c r="AQ5" s="39">
        <v>942.45399999999995</v>
      </c>
      <c r="AR5" s="39">
        <v>1001.82</v>
      </c>
      <c r="AS5" s="39">
        <v>1035.18</v>
      </c>
      <c r="AT5" s="39">
        <v>1122.46</v>
      </c>
      <c r="AU5" s="39">
        <v>29.102</v>
      </c>
      <c r="AV5" s="39">
        <v>51.197000000000003</v>
      </c>
      <c r="AW5" s="39">
        <v>65.236999999999995</v>
      </c>
      <c r="AX5" s="39">
        <v>80.034000000000006</v>
      </c>
      <c r="AY5" s="39">
        <v>94.960999999999999</v>
      </c>
      <c r="AZ5" s="39">
        <v>112.473</v>
      </c>
      <c r="BA5" s="39">
        <v>0.48399999999999999</v>
      </c>
      <c r="BB5" s="39">
        <v>0.81699999999999995</v>
      </c>
      <c r="BC5" s="39">
        <v>1.0680000000000001</v>
      </c>
      <c r="BD5" s="39">
        <v>1.284</v>
      </c>
      <c r="BE5" s="39">
        <v>1.512</v>
      </c>
      <c r="BF5" s="39">
        <v>1.766</v>
      </c>
      <c r="BG5" s="39">
        <v>0.47499999999999998</v>
      </c>
      <c r="BH5" s="39">
        <v>0.8</v>
      </c>
      <c r="BI5" s="39">
        <v>1.046</v>
      </c>
      <c r="BJ5" s="39">
        <v>1.274</v>
      </c>
      <c r="BK5" s="39">
        <v>1.4810000000000001</v>
      </c>
      <c r="BL5" s="39">
        <v>1.7569999999999999</v>
      </c>
      <c r="BM5" s="34"/>
    </row>
    <row r="6" spans="1:66" s="8" customFormat="1">
      <c r="A6" s="41" t="s">
        <v>157</v>
      </c>
      <c r="B6" s="39">
        <v>26</v>
      </c>
      <c r="C6" s="39">
        <v>48</v>
      </c>
      <c r="D6" s="39">
        <v>48</v>
      </c>
      <c r="E6" s="39">
        <v>4</v>
      </c>
      <c r="F6" s="39">
        <v>100</v>
      </c>
      <c r="G6" s="39">
        <v>80</v>
      </c>
      <c r="H6" s="39">
        <v>0</v>
      </c>
      <c r="I6" s="39">
        <v>0</v>
      </c>
      <c r="J6" s="39">
        <v>0</v>
      </c>
      <c r="K6" s="39">
        <v>80</v>
      </c>
      <c r="L6" s="39">
        <v>781.029</v>
      </c>
      <c r="M6" s="41" t="s">
        <v>157</v>
      </c>
      <c r="N6" s="39">
        <v>4.8319999999999999</v>
      </c>
      <c r="O6" s="39">
        <v>0.109</v>
      </c>
      <c r="P6" s="39">
        <v>0.111</v>
      </c>
      <c r="Q6" s="39">
        <v>39.9</v>
      </c>
      <c r="R6" s="39">
        <v>50.279000000000003</v>
      </c>
      <c r="S6" s="39">
        <v>59.127000000000002</v>
      </c>
      <c r="T6" s="39">
        <v>68.900000000000006</v>
      </c>
      <c r="U6" s="39">
        <v>85.58</v>
      </c>
      <c r="V6" s="39">
        <v>90.153000000000006</v>
      </c>
      <c r="W6" s="39">
        <v>2.15</v>
      </c>
      <c r="X6" s="39">
        <v>6.6840000000000002</v>
      </c>
      <c r="Y6" s="39">
        <v>9.8409999999999993</v>
      </c>
      <c r="Z6" s="39">
        <v>13.771000000000001</v>
      </c>
      <c r="AA6" s="39">
        <v>16.745999999999999</v>
      </c>
      <c r="AB6" s="39">
        <v>18.169</v>
      </c>
      <c r="AC6" s="39">
        <v>5.2999999999999999E-2</v>
      </c>
      <c r="AD6" s="39">
        <v>0.14099999999999999</v>
      </c>
      <c r="AE6" s="39">
        <v>0.20799999999999999</v>
      </c>
      <c r="AF6" s="39">
        <v>0.26800000000000002</v>
      </c>
      <c r="AG6" s="39">
        <v>0.311</v>
      </c>
      <c r="AH6" s="39">
        <v>0.39800000000000002</v>
      </c>
      <c r="AI6" s="39">
        <v>5.0999999999999997E-2</v>
      </c>
      <c r="AJ6" s="39">
        <v>0.13500000000000001</v>
      </c>
      <c r="AK6" s="39">
        <v>0.19600000000000001</v>
      </c>
      <c r="AL6" s="39">
        <v>0.26400000000000001</v>
      </c>
      <c r="AM6" s="39">
        <v>0.31</v>
      </c>
      <c r="AN6" s="39">
        <v>0.38500000000000001</v>
      </c>
      <c r="AO6" s="39">
        <v>771.24300000000005</v>
      </c>
      <c r="AP6" s="39">
        <v>878.19</v>
      </c>
      <c r="AQ6" s="39">
        <v>942.45399999999995</v>
      </c>
      <c r="AR6" s="39">
        <v>1001.82</v>
      </c>
      <c r="AS6" s="39">
        <v>1035.18</v>
      </c>
      <c r="AT6" s="39">
        <v>1122.46</v>
      </c>
      <c r="AU6" s="39">
        <v>2.4750000000000001</v>
      </c>
      <c r="AV6" s="39">
        <v>8.8450000000000006</v>
      </c>
      <c r="AW6" s="39">
        <v>13.9</v>
      </c>
      <c r="AX6" s="39">
        <v>18.728000000000002</v>
      </c>
      <c r="AY6" s="39">
        <v>21.672999999999998</v>
      </c>
      <c r="AZ6" s="39">
        <v>23.042999999999999</v>
      </c>
      <c r="BA6" s="39">
        <v>7.0000000000000007E-2</v>
      </c>
      <c r="BB6" s="39">
        <v>0.19800000000000001</v>
      </c>
      <c r="BC6" s="39">
        <v>0.30399999999999999</v>
      </c>
      <c r="BD6" s="39">
        <v>0.44</v>
      </c>
      <c r="BE6" s="39">
        <v>0.47699999999999998</v>
      </c>
      <c r="BF6" s="39">
        <v>0.49199999999999999</v>
      </c>
      <c r="BG6" s="39">
        <v>6.9000000000000006E-2</v>
      </c>
      <c r="BH6" s="39">
        <v>0.191</v>
      </c>
      <c r="BI6" s="39">
        <v>0.29299999999999998</v>
      </c>
      <c r="BJ6" s="39">
        <v>0.433</v>
      </c>
      <c r="BK6" s="39">
        <v>0.46500000000000002</v>
      </c>
      <c r="BL6" s="39">
        <v>0.48899999999999999</v>
      </c>
      <c r="BM6" s="34"/>
    </row>
    <row r="7" spans="1:66" s="8" customFormat="1">
      <c r="A7" s="41" t="s">
        <v>175</v>
      </c>
      <c r="B7" s="39">
        <v>26</v>
      </c>
      <c r="C7" s="39">
        <v>100</v>
      </c>
      <c r="D7" s="39">
        <v>0</v>
      </c>
      <c r="E7" s="39">
        <v>0</v>
      </c>
      <c r="F7" s="39">
        <v>0</v>
      </c>
      <c r="G7" s="39">
        <v>26</v>
      </c>
      <c r="H7" s="39">
        <v>0</v>
      </c>
      <c r="I7" s="39">
        <v>0</v>
      </c>
      <c r="J7" s="39">
        <v>0</v>
      </c>
      <c r="K7" s="39">
        <v>26</v>
      </c>
      <c r="L7" s="39">
        <v>781.029</v>
      </c>
      <c r="M7" s="41" t="s">
        <v>175</v>
      </c>
      <c r="N7" s="39">
        <v>70.816000000000003</v>
      </c>
      <c r="O7" s="39">
        <v>2.9849999999999999</v>
      </c>
      <c r="P7" s="39">
        <v>3.01</v>
      </c>
      <c r="Q7" s="39">
        <v>39.9</v>
      </c>
      <c r="R7" s="39">
        <v>50.279000000000003</v>
      </c>
      <c r="S7" s="39">
        <v>59.127000000000002</v>
      </c>
      <c r="T7" s="39">
        <v>68.900000000000006</v>
      </c>
      <c r="U7" s="39">
        <v>85.58</v>
      </c>
      <c r="V7" s="39">
        <v>90.153000000000006</v>
      </c>
      <c r="W7" s="39">
        <v>16.777999999999999</v>
      </c>
      <c r="X7" s="39">
        <v>25.908999999999999</v>
      </c>
      <c r="Y7" s="39">
        <v>29.908000000000001</v>
      </c>
      <c r="Z7" s="39">
        <v>41.945999999999998</v>
      </c>
      <c r="AA7" s="39">
        <v>56.442</v>
      </c>
      <c r="AB7" s="39">
        <v>58.997</v>
      </c>
      <c r="AC7" s="39">
        <v>0.76600000000000001</v>
      </c>
      <c r="AD7" s="39">
        <v>1.216</v>
      </c>
      <c r="AE7" s="39">
        <v>1.5269999999999999</v>
      </c>
      <c r="AF7" s="39">
        <v>1.9379999999999999</v>
      </c>
      <c r="AG7" s="39">
        <v>2.1909999999999998</v>
      </c>
      <c r="AH7" s="39">
        <v>2.484</v>
      </c>
      <c r="AI7" s="39">
        <v>0.76500000000000001</v>
      </c>
      <c r="AJ7" s="39">
        <v>1.2010000000000001</v>
      </c>
      <c r="AK7" s="39">
        <v>1.5269999999999999</v>
      </c>
      <c r="AL7" s="39">
        <v>1.927</v>
      </c>
      <c r="AM7" s="39">
        <v>2.1890000000000001</v>
      </c>
      <c r="AN7" s="39">
        <v>2.4670000000000001</v>
      </c>
      <c r="AO7" s="39">
        <v>771.24300000000005</v>
      </c>
      <c r="AP7" s="39">
        <v>878.19</v>
      </c>
      <c r="AQ7" s="39">
        <v>942.45399999999995</v>
      </c>
      <c r="AR7" s="39">
        <v>1001.82</v>
      </c>
      <c r="AS7" s="39">
        <v>1035.18</v>
      </c>
      <c r="AT7" s="39">
        <v>1122.46</v>
      </c>
      <c r="AU7" s="39">
        <v>64.933999999999997</v>
      </c>
      <c r="AV7" s="39">
        <v>95.772000000000006</v>
      </c>
      <c r="AW7" s="39">
        <v>113.82299999999999</v>
      </c>
      <c r="AX7" s="39">
        <v>139.149</v>
      </c>
      <c r="AY7" s="39">
        <v>160.61500000000001</v>
      </c>
      <c r="AZ7" s="39">
        <v>176.49</v>
      </c>
      <c r="BA7" s="39">
        <v>2.681</v>
      </c>
      <c r="BB7" s="39">
        <v>4.0129999999999999</v>
      </c>
      <c r="BC7" s="39">
        <v>5.173</v>
      </c>
      <c r="BD7" s="39">
        <v>6.0129999999999999</v>
      </c>
      <c r="BE7" s="39">
        <v>6.8479999999999999</v>
      </c>
      <c r="BF7" s="39">
        <v>8.0660000000000007</v>
      </c>
      <c r="BG7" s="39">
        <v>2.653</v>
      </c>
      <c r="BH7" s="39">
        <v>3.9820000000000002</v>
      </c>
      <c r="BI7" s="39">
        <v>5.157</v>
      </c>
      <c r="BJ7" s="39">
        <v>5.98</v>
      </c>
      <c r="BK7" s="39">
        <v>6.72</v>
      </c>
      <c r="BL7" s="39">
        <v>8.0050000000000008</v>
      </c>
      <c r="BM7" s="34"/>
    </row>
    <row r="8" spans="1:66" s="8" customFormat="1">
      <c r="A8" s="41" t="s">
        <v>177</v>
      </c>
      <c r="B8" s="39">
        <v>26</v>
      </c>
      <c r="C8" s="39">
        <v>0</v>
      </c>
      <c r="D8" s="39">
        <v>8</v>
      </c>
      <c r="E8" s="39">
        <v>0</v>
      </c>
      <c r="F8" s="39">
        <v>100</v>
      </c>
      <c r="G8" s="39">
        <v>45</v>
      </c>
      <c r="H8" s="39">
        <v>9</v>
      </c>
      <c r="I8" s="39">
        <v>0</v>
      </c>
      <c r="J8" s="39">
        <v>0</v>
      </c>
      <c r="K8" s="39">
        <v>54</v>
      </c>
      <c r="L8" s="39">
        <v>781.029</v>
      </c>
      <c r="M8" s="41" t="s">
        <v>177</v>
      </c>
      <c r="N8" s="39">
        <v>22.059000000000001</v>
      </c>
      <c r="O8" s="39">
        <v>0.46700000000000003</v>
      </c>
      <c r="P8" s="39">
        <v>0.47299999999999998</v>
      </c>
      <c r="Q8" s="39">
        <v>39.9</v>
      </c>
      <c r="R8" s="39">
        <v>50.279000000000003</v>
      </c>
      <c r="S8" s="39">
        <v>59.127000000000002</v>
      </c>
      <c r="T8" s="39">
        <v>68.900000000000006</v>
      </c>
      <c r="U8" s="39">
        <v>85.58</v>
      </c>
      <c r="V8" s="39">
        <v>90.153000000000006</v>
      </c>
      <c r="W8" s="39">
        <v>8.423</v>
      </c>
      <c r="X8" s="39">
        <v>15.627000000000001</v>
      </c>
      <c r="Y8" s="39">
        <v>19.183</v>
      </c>
      <c r="Z8" s="39">
        <v>26.934000000000001</v>
      </c>
      <c r="AA8" s="39">
        <v>34.090000000000003</v>
      </c>
      <c r="AB8" s="39">
        <v>39.576000000000001</v>
      </c>
      <c r="AC8" s="39">
        <v>0.18</v>
      </c>
      <c r="AD8" s="39">
        <v>0.32500000000000001</v>
      </c>
      <c r="AE8" s="39">
        <v>0.41399999999999998</v>
      </c>
      <c r="AF8" s="39">
        <v>0.53900000000000003</v>
      </c>
      <c r="AG8" s="39">
        <v>0.61099999999999999</v>
      </c>
      <c r="AH8" s="39">
        <v>0.7</v>
      </c>
      <c r="AI8" s="39">
        <v>0.17799999999999999</v>
      </c>
      <c r="AJ8" s="39">
        <v>0.316</v>
      </c>
      <c r="AK8" s="39">
        <v>0.41399999999999998</v>
      </c>
      <c r="AL8" s="39">
        <v>0.53300000000000003</v>
      </c>
      <c r="AM8" s="39">
        <v>0.61099999999999999</v>
      </c>
      <c r="AN8" s="39">
        <v>0.69</v>
      </c>
      <c r="AO8" s="39">
        <v>771.24300000000005</v>
      </c>
      <c r="AP8" s="39">
        <v>878.19</v>
      </c>
      <c r="AQ8" s="39">
        <v>942.45399999999995</v>
      </c>
      <c r="AR8" s="39">
        <v>1001.82</v>
      </c>
      <c r="AS8" s="39">
        <v>1035.18</v>
      </c>
      <c r="AT8" s="39">
        <v>1122.46</v>
      </c>
      <c r="AU8" s="39">
        <v>18.007999999999999</v>
      </c>
      <c r="AV8" s="39">
        <v>35.149000000000001</v>
      </c>
      <c r="AW8" s="39">
        <v>44.731000000000002</v>
      </c>
      <c r="AX8" s="39">
        <v>57.485999999999997</v>
      </c>
      <c r="AY8" s="39">
        <v>64.489999999999995</v>
      </c>
      <c r="AZ8" s="39">
        <v>83.399000000000001</v>
      </c>
      <c r="BA8" s="39">
        <v>0.39600000000000002</v>
      </c>
      <c r="BB8" s="39">
        <v>0.71599999999999997</v>
      </c>
      <c r="BC8" s="39">
        <v>0.97399999999999998</v>
      </c>
      <c r="BD8" s="39">
        <v>1.175</v>
      </c>
      <c r="BE8" s="39">
        <v>1.4179999999999999</v>
      </c>
      <c r="BF8" s="39">
        <v>1.595</v>
      </c>
      <c r="BG8" s="39">
        <v>0.38900000000000001</v>
      </c>
      <c r="BH8" s="39">
        <v>0.71399999999999997</v>
      </c>
      <c r="BI8" s="39">
        <v>0.96</v>
      </c>
      <c r="BJ8" s="39">
        <v>1.157</v>
      </c>
      <c r="BK8" s="39">
        <v>1.397</v>
      </c>
      <c r="BL8" s="39">
        <v>1.5760000000000001</v>
      </c>
      <c r="BM8" s="34"/>
    </row>
    <row r="9" spans="1:66" s="8" customFormat="1">
      <c r="A9" s="41" t="s">
        <v>179</v>
      </c>
      <c r="B9" s="39">
        <v>26</v>
      </c>
      <c r="C9" s="39">
        <v>0</v>
      </c>
      <c r="D9" s="39">
        <v>6.25</v>
      </c>
      <c r="E9" s="39">
        <v>37.5</v>
      </c>
      <c r="F9" s="39">
        <v>100</v>
      </c>
      <c r="G9" s="39">
        <v>53.55</v>
      </c>
      <c r="H9" s="39">
        <v>10</v>
      </c>
      <c r="I9" s="39">
        <v>0</v>
      </c>
      <c r="J9" s="39">
        <v>0</v>
      </c>
      <c r="K9" s="39">
        <v>63.55</v>
      </c>
      <c r="L9" s="39">
        <v>781.029</v>
      </c>
      <c r="M9" s="41" t="s">
        <v>179</v>
      </c>
      <c r="N9" s="39">
        <v>43.011000000000003</v>
      </c>
      <c r="O9" s="39">
        <v>0.71299999999999997</v>
      </c>
      <c r="P9" s="39">
        <v>0.72299999999999998</v>
      </c>
      <c r="Q9" s="39">
        <v>39.9</v>
      </c>
      <c r="R9" s="39">
        <v>50.279000000000003</v>
      </c>
      <c r="S9" s="39">
        <v>59.127000000000002</v>
      </c>
      <c r="T9" s="39">
        <v>68.900000000000006</v>
      </c>
      <c r="U9" s="39">
        <v>85.58</v>
      </c>
      <c r="V9" s="39">
        <v>90.153000000000006</v>
      </c>
      <c r="W9" s="39">
        <v>12.9</v>
      </c>
      <c r="X9" s="39">
        <v>21.472999999999999</v>
      </c>
      <c r="Y9" s="39">
        <v>26.449000000000002</v>
      </c>
      <c r="Z9" s="39">
        <v>35.570999999999998</v>
      </c>
      <c r="AA9" s="39">
        <v>49.905000000000001</v>
      </c>
      <c r="AB9" s="39">
        <v>53.518000000000001</v>
      </c>
      <c r="AC9" s="39">
        <v>0.217</v>
      </c>
      <c r="AD9" s="39">
        <v>0.35199999999999998</v>
      </c>
      <c r="AE9" s="39">
        <v>0.45400000000000001</v>
      </c>
      <c r="AF9" s="39">
        <v>0.60199999999999998</v>
      </c>
      <c r="AG9" s="39">
        <v>0.67900000000000005</v>
      </c>
      <c r="AH9" s="39">
        <v>0.71099999999999997</v>
      </c>
      <c r="AI9" s="39">
        <v>0.216</v>
      </c>
      <c r="AJ9" s="39">
        <v>0.34799999999999998</v>
      </c>
      <c r="AK9" s="39">
        <v>0.45200000000000001</v>
      </c>
      <c r="AL9" s="39">
        <v>0.59699999999999998</v>
      </c>
      <c r="AM9" s="39">
        <v>0.65900000000000003</v>
      </c>
      <c r="AN9" s="39">
        <v>0.70899999999999996</v>
      </c>
      <c r="AO9" s="39">
        <v>771.24300000000005</v>
      </c>
      <c r="AP9" s="39">
        <v>878.19</v>
      </c>
      <c r="AQ9" s="39">
        <v>942.45399999999995</v>
      </c>
      <c r="AR9" s="39">
        <v>1001.82</v>
      </c>
      <c r="AS9" s="39">
        <v>1035.18</v>
      </c>
      <c r="AT9" s="39">
        <v>1122.46</v>
      </c>
      <c r="AU9" s="39">
        <v>36.664999999999999</v>
      </c>
      <c r="AV9" s="39">
        <v>62.253</v>
      </c>
      <c r="AW9" s="39">
        <v>77.546000000000006</v>
      </c>
      <c r="AX9" s="39">
        <v>94.08</v>
      </c>
      <c r="AY9" s="39">
        <v>117.235</v>
      </c>
      <c r="AZ9" s="39">
        <v>127.039</v>
      </c>
      <c r="BA9" s="39">
        <v>0.63500000000000001</v>
      </c>
      <c r="BB9" s="39">
        <v>0.997</v>
      </c>
      <c r="BC9" s="39">
        <v>1.31</v>
      </c>
      <c r="BD9" s="39">
        <v>1.5609999999999999</v>
      </c>
      <c r="BE9" s="39">
        <v>1.8280000000000001</v>
      </c>
      <c r="BF9" s="39">
        <v>2.109</v>
      </c>
      <c r="BG9" s="39">
        <v>0.627</v>
      </c>
      <c r="BH9" s="39">
        <v>0.98599999999999999</v>
      </c>
      <c r="BI9" s="39">
        <v>1.2929999999999999</v>
      </c>
      <c r="BJ9" s="39">
        <v>1.5449999999999999</v>
      </c>
      <c r="BK9" s="39">
        <v>1.7949999999999999</v>
      </c>
      <c r="BL9" s="39">
        <v>2.1</v>
      </c>
      <c r="BM9" s="34"/>
    </row>
    <row r="10" spans="1:66" s="8" customFormat="1">
      <c r="A10" s="46" t="s">
        <v>173</v>
      </c>
      <c r="B10" s="43">
        <v>26</v>
      </c>
      <c r="C10" s="43">
        <v>47.36</v>
      </c>
      <c r="D10" s="43">
        <v>15.78</v>
      </c>
      <c r="E10" s="43">
        <v>15.78</v>
      </c>
      <c r="F10" s="43">
        <v>78.92</v>
      </c>
      <c r="G10" s="43">
        <v>80</v>
      </c>
      <c r="H10" s="43">
        <v>6.66</v>
      </c>
      <c r="I10" s="43">
        <v>0</v>
      </c>
      <c r="J10" s="43">
        <v>0</v>
      </c>
      <c r="K10" s="43">
        <v>86.66</v>
      </c>
      <c r="L10" s="43">
        <v>781.029</v>
      </c>
      <c r="M10" s="46" t="s">
        <v>173</v>
      </c>
      <c r="N10" s="43">
        <v>12.768000000000001</v>
      </c>
      <c r="O10" s="43">
        <v>0.30499999999999999</v>
      </c>
      <c r="P10" s="43">
        <v>0.314</v>
      </c>
      <c r="Q10" s="43">
        <v>39.9</v>
      </c>
      <c r="R10" s="43">
        <v>50.279000000000003</v>
      </c>
      <c r="S10" s="43">
        <v>59.127000000000002</v>
      </c>
      <c r="T10" s="43">
        <v>68.900000000000006</v>
      </c>
      <c r="U10" s="43">
        <v>85.58</v>
      </c>
      <c r="V10" s="43">
        <v>90.153000000000006</v>
      </c>
      <c r="W10" s="43">
        <v>5.7619999999999996</v>
      </c>
      <c r="X10" s="43">
        <v>12.103</v>
      </c>
      <c r="Y10" s="43">
        <v>15.856999999999999</v>
      </c>
      <c r="Z10" s="43">
        <v>22.132000000000001</v>
      </c>
      <c r="AA10" s="43">
        <v>28.795000000000002</v>
      </c>
      <c r="AB10" s="43">
        <v>34.280999999999999</v>
      </c>
      <c r="AC10" s="43">
        <v>0.14199999999999999</v>
      </c>
      <c r="AD10" s="43">
        <v>0.27400000000000002</v>
      </c>
      <c r="AE10" s="43">
        <v>0.35599999999999998</v>
      </c>
      <c r="AF10" s="43">
        <v>0.45800000000000002</v>
      </c>
      <c r="AG10" s="43">
        <v>0.51600000000000001</v>
      </c>
      <c r="AH10" s="43">
        <v>0.61299999999999999</v>
      </c>
      <c r="AI10" s="43">
        <v>0.13700000000000001</v>
      </c>
      <c r="AJ10" s="43">
        <v>0.26600000000000001</v>
      </c>
      <c r="AK10" s="43">
        <v>0.34499999999999997</v>
      </c>
      <c r="AL10" s="43">
        <v>0.44600000000000001</v>
      </c>
      <c r="AM10" s="43">
        <v>0.51400000000000001</v>
      </c>
      <c r="AN10" s="43">
        <v>0.61099999999999999</v>
      </c>
      <c r="AO10" s="43">
        <v>771.24300000000005</v>
      </c>
      <c r="AP10" s="43">
        <v>878.19</v>
      </c>
      <c r="AQ10" s="43">
        <v>942.45399999999995</v>
      </c>
      <c r="AR10" s="43">
        <v>1001.82</v>
      </c>
      <c r="AS10" s="43">
        <v>1035.18</v>
      </c>
      <c r="AT10" s="43">
        <v>1122.46</v>
      </c>
      <c r="AU10" s="43">
        <v>9.2420000000000009</v>
      </c>
      <c r="AV10" s="43">
        <v>22.509</v>
      </c>
      <c r="AW10" s="43">
        <v>29.294</v>
      </c>
      <c r="AX10" s="43">
        <v>38.652999999999999</v>
      </c>
      <c r="AY10" s="43">
        <v>43.152000000000001</v>
      </c>
      <c r="AZ10" s="43">
        <v>55.927</v>
      </c>
      <c r="BA10" s="43">
        <v>0.23599999999999999</v>
      </c>
      <c r="BB10" s="43">
        <v>0.52</v>
      </c>
      <c r="BC10" s="43">
        <v>0.71</v>
      </c>
      <c r="BD10" s="43">
        <v>0.93100000000000005</v>
      </c>
      <c r="BE10" s="43">
        <v>1.0940000000000001</v>
      </c>
      <c r="BF10" s="43">
        <v>1.1439999999999999</v>
      </c>
      <c r="BG10" s="43">
        <v>0.224</v>
      </c>
      <c r="BH10" s="43">
        <v>0.50700000000000001</v>
      </c>
      <c r="BI10" s="43">
        <v>0.69799999999999995</v>
      </c>
      <c r="BJ10" s="43">
        <v>0.88700000000000001</v>
      </c>
      <c r="BK10" s="43">
        <v>1.0680000000000001</v>
      </c>
      <c r="BL10" s="43">
        <v>1.1220000000000001</v>
      </c>
      <c r="BM10" s="44"/>
    </row>
    <row r="11" spans="1:66" s="8" customFormat="1">
      <c r="A11" s="41" t="s">
        <v>159</v>
      </c>
      <c r="B11" s="39">
        <v>26</v>
      </c>
      <c r="C11" s="39">
        <v>44.44</v>
      </c>
      <c r="D11" s="39">
        <v>33.33</v>
      </c>
      <c r="E11" s="39">
        <v>22.22</v>
      </c>
      <c r="F11" s="39">
        <v>0</v>
      </c>
      <c r="G11" s="39">
        <v>54.83</v>
      </c>
      <c r="H11" s="39">
        <v>6.41</v>
      </c>
      <c r="I11" s="39">
        <v>19.350000000000001</v>
      </c>
      <c r="J11" s="39">
        <v>0</v>
      </c>
      <c r="K11" s="39">
        <v>80.59</v>
      </c>
      <c r="L11" s="39">
        <v>781.029</v>
      </c>
      <c r="M11" s="41" t="s">
        <v>196</v>
      </c>
      <c r="N11" s="39">
        <v>5.9219999999999997</v>
      </c>
      <c r="O11" s="39">
        <v>0.13100000000000001</v>
      </c>
      <c r="P11" s="39">
        <v>0.13400000000000001</v>
      </c>
      <c r="Q11" s="39">
        <v>39.9</v>
      </c>
      <c r="R11" s="39">
        <v>50.279000000000003</v>
      </c>
      <c r="S11" s="39">
        <v>59.127000000000002</v>
      </c>
      <c r="T11" s="39">
        <v>68.900000000000006</v>
      </c>
      <c r="U11" s="39">
        <v>85.58</v>
      </c>
      <c r="V11" s="39">
        <v>90.153000000000006</v>
      </c>
      <c r="W11" s="39">
        <v>2.8380000000000001</v>
      </c>
      <c r="X11" s="39">
        <v>7.6689999999999996</v>
      </c>
      <c r="Y11" s="39">
        <v>11.052</v>
      </c>
      <c r="Z11" s="39">
        <v>15.340999999999999</v>
      </c>
      <c r="AA11" s="39">
        <v>17.853000000000002</v>
      </c>
      <c r="AB11" s="39">
        <v>20.440000000000001</v>
      </c>
      <c r="AC11" s="39">
        <v>6.4000000000000001E-2</v>
      </c>
      <c r="AD11" s="39">
        <v>0.158</v>
      </c>
      <c r="AE11" s="39">
        <v>0.22600000000000001</v>
      </c>
      <c r="AF11" s="39">
        <v>0.29499999999999998</v>
      </c>
      <c r="AG11" s="39">
        <v>0.33700000000000002</v>
      </c>
      <c r="AH11" s="39">
        <v>0.42799999999999999</v>
      </c>
      <c r="AI11" s="39">
        <v>6.2E-2</v>
      </c>
      <c r="AJ11" s="39">
        <v>0.152</v>
      </c>
      <c r="AK11" s="39">
        <v>0.20699999999999999</v>
      </c>
      <c r="AL11" s="39">
        <v>0.29099999999999998</v>
      </c>
      <c r="AM11" s="39">
        <v>0.33500000000000002</v>
      </c>
      <c r="AN11" s="39">
        <v>0.41499999999999998</v>
      </c>
      <c r="AO11" s="39">
        <v>771.24300000000005</v>
      </c>
      <c r="AP11" s="39">
        <v>878.19</v>
      </c>
      <c r="AQ11" s="39">
        <v>942.45399999999995</v>
      </c>
      <c r="AR11" s="39">
        <v>1001.82</v>
      </c>
      <c r="AS11" s="39">
        <v>1035.18</v>
      </c>
      <c r="AT11" s="39">
        <v>1122.46</v>
      </c>
      <c r="AU11" s="39">
        <v>3.444</v>
      </c>
      <c r="AV11" s="39">
        <v>10.787000000000001</v>
      </c>
      <c r="AW11" s="39">
        <v>16.216000000000001</v>
      </c>
      <c r="AX11" s="39">
        <v>21.785</v>
      </c>
      <c r="AY11" s="39">
        <v>25.117999999999999</v>
      </c>
      <c r="AZ11" s="39">
        <v>28.402999999999999</v>
      </c>
      <c r="BA11" s="39">
        <v>8.7999999999999995E-2</v>
      </c>
      <c r="BB11" s="39">
        <v>0.23200000000000001</v>
      </c>
      <c r="BC11" s="39">
        <v>0.33200000000000002</v>
      </c>
      <c r="BD11" s="39">
        <v>0.51100000000000001</v>
      </c>
      <c r="BE11" s="39">
        <v>0.54600000000000004</v>
      </c>
      <c r="BF11" s="39">
        <v>0.56100000000000005</v>
      </c>
      <c r="BG11" s="39">
        <v>8.6999999999999994E-2</v>
      </c>
      <c r="BH11" s="39">
        <v>0.23</v>
      </c>
      <c r="BI11" s="39">
        <v>0.32500000000000001</v>
      </c>
      <c r="BJ11" s="39">
        <v>0.49299999999999999</v>
      </c>
      <c r="BK11" s="39">
        <v>0.54200000000000004</v>
      </c>
      <c r="BL11" s="39">
        <v>0.55400000000000005</v>
      </c>
      <c r="BM11" s="47"/>
      <c r="BN11" s="34"/>
    </row>
    <row r="12" spans="1:66" s="8" customFormat="1">
      <c r="A12" s="50" t="s">
        <v>171</v>
      </c>
      <c r="B12" s="48">
        <v>26</v>
      </c>
      <c r="C12" s="39">
        <v>28.57</v>
      </c>
      <c r="D12" s="39">
        <v>71.42</v>
      </c>
      <c r="E12" s="39">
        <v>0</v>
      </c>
      <c r="F12" s="39">
        <v>0</v>
      </c>
      <c r="G12" s="39">
        <v>48.38</v>
      </c>
      <c r="H12" s="39">
        <v>6.45</v>
      </c>
      <c r="I12" s="39">
        <v>19.350000000000001</v>
      </c>
      <c r="J12" s="39">
        <v>0</v>
      </c>
      <c r="K12" s="39">
        <v>74.180000000000007</v>
      </c>
      <c r="L12" s="39">
        <v>781.029</v>
      </c>
      <c r="M12" s="50" t="s">
        <v>171</v>
      </c>
      <c r="N12" s="39">
        <v>32.643000000000001</v>
      </c>
      <c r="O12" s="39">
        <v>0.46</v>
      </c>
      <c r="P12" s="39">
        <v>0.46800000000000003</v>
      </c>
      <c r="Q12" s="39">
        <v>39.9</v>
      </c>
      <c r="R12" s="39">
        <v>50.279000000000003</v>
      </c>
      <c r="S12" s="39">
        <v>59.127000000000002</v>
      </c>
      <c r="T12" s="39">
        <v>68.900000000000006</v>
      </c>
      <c r="U12" s="39">
        <v>85.58</v>
      </c>
      <c r="V12" s="39">
        <v>90.153000000000006</v>
      </c>
      <c r="W12" s="39">
        <v>10.907999999999999</v>
      </c>
      <c r="X12" s="39">
        <v>19.449000000000002</v>
      </c>
      <c r="Y12" s="39">
        <v>22.699000000000002</v>
      </c>
      <c r="Z12" s="39">
        <v>31.076000000000001</v>
      </c>
      <c r="AA12" s="39">
        <v>44.96</v>
      </c>
      <c r="AB12" s="39">
        <v>50.387999999999998</v>
      </c>
      <c r="AC12" s="39">
        <v>0.156</v>
      </c>
      <c r="AD12" s="39">
        <v>0.26</v>
      </c>
      <c r="AE12" s="39">
        <v>0.34</v>
      </c>
      <c r="AF12" s="39">
        <v>0.45500000000000002</v>
      </c>
      <c r="AG12" s="39">
        <v>0.503</v>
      </c>
      <c r="AH12" s="39">
        <v>0.55400000000000005</v>
      </c>
      <c r="AI12" s="39">
        <v>0.156</v>
      </c>
      <c r="AJ12" s="39">
        <v>0.26</v>
      </c>
      <c r="AK12" s="39">
        <v>0.34</v>
      </c>
      <c r="AL12" s="39">
        <v>0.45500000000000002</v>
      </c>
      <c r="AM12" s="39">
        <v>0.503</v>
      </c>
      <c r="AN12" s="39">
        <v>0.55400000000000005</v>
      </c>
      <c r="AO12" s="39">
        <v>771.24300000000005</v>
      </c>
      <c r="AP12" s="39">
        <v>878.19</v>
      </c>
      <c r="AQ12" s="39">
        <v>942.45399999999995</v>
      </c>
      <c r="AR12" s="39">
        <v>1001.82</v>
      </c>
      <c r="AS12" s="39">
        <v>1035.18</v>
      </c>
      <c r="AT12" s="39">
        <v>1122.46</v>
      </c>
      <c r="AU12" s="39">
        <v>27.024999999999999</v>
      </c>
      <c r="AV12" s="39">
        <v>48.529000000000003</v>
      </c>
      <c r="AW12" s="39">
        <v>61.344999999999999</v>
      </c>
      <c r="AX12" s="39">
        <v>76.644000000000005</v>
      </c>
      <c r="AY12" s="39">
        <v>91.168000000000006</v>
      </c>
      <c r="AZ12" s="39">
        <v>109.623</v>
      </c>
      <c r="BA12" s="39">
        <v>0.39600000000000002</v>
      </c>
      <c r="BB12" s="39">
        <v>0.68899999999999995</v>
      </c>
      <c r="BC12" s="39">
        <v>0.89600000000000002</v>
      </c>
      <c r="BD12" s="39">
        <v>1.093</v>
      </c>
      <c r="BE12" s="39">
        <v>1.2589999999999999</v>
      </c>
      <c r="BF12" s="39">
        <v>1.512</v>
      </c>
      <c r="BG12" s="39">
        <v>0.38800000000000001</v>
      </c>
      <c r="BH12" s="39">
        <v>0.67200000000000004</v>
      </c>
      <c r="BI12" s="39">
        <v>0.875</v>
      </c>
      <c r="BJ12" s="39">
        <v>1.077</v>
      </c>
      <c r="BK12" s="39">
        <v>1.2310000000000001</v>
      </c>
      <c r="BL12" s="39">
        <v>1.5029999999999999</v>
      </c>
      <c r="BM12" s="47"/>
      <c r="BN12" s="34"/>
    </row>
    <row r="13" spans="1:66" s="8" customFormat="1">
      <c r="A13" s="50" t="s">
        <v>169</v>
      </c>
      <c r="B13" s="48">
        <v>26</v>
      </c>
      <c r="C13" s="39">
        <v>56.25</v>
      </c>
      <c r="D13" s="39">
        <v>37.5</v>
      </c>
      <c r="E13" s="39">
        <v>6.25</v>
      </c>
      <c r="F13" s="39">
        <v>100</v>
      </c>
      <c r="G13" s="39">
        <v>56.66</v>
      </c>
      <c r="H13" s="39">
        <v>20</v>
      </c>
      <c r="I13" s="39">
        <v>13</v>
      </c>
      <c r="J13" s="39">
        <v>0</v>
      </c>
      <c r="K13" s="39">
        <v>89.66</v>
      </c>
      <c r="L13" s="39">
        <v>781.029</v>
      </c>
      <c r="M13" s="50" t="s">
        <v>169</v>
      </c>
      <c r="N13" s="39">
        <v>19.803999999999998</v>
      </c>
      <c r="O13" s="39">
        <v>0.29199999999999998</v>
      </c>
      <c r="P13" s="39">
        <v>0.29799999999999999</v>
      </c>
      <c r="Q13" s="39">
        <v>39.9</v>
      </c>
      <c r="R13" s="39">
        <v>50.279000000000003</v>
      </c>
      <c r="S13" s="39">
        <v>59.127000000000002</v>
      </c>
      <c r="T13" s="39">
        <v>68.900000000000006</v>
      </c>
      <c r="U13" s="39">
        <v>85.58</v>
      </c>
      <c r="V13" s="39">
        <v>90.153000000000006</v>
      </c>
      <c r="W13" s="39">
        <v>7.8609999999999998</v>
      </c>
      <c r="X13" s="39">
        <v>15.217000000000001</v>
      </c>
      <c r="Y13" s="39">
        <v>18.638000000000002</v>
      </c>
      <c r="Z13" s="39">
        <v>26.712</v>
      </c>
      <c r="AA13" s="39">
        <v>34.648000000000003</v>
      </c>
      <c r="AB13" s="39">
        <v>44.411000000000001</v>
      </c>
      <c r="AC13" s="39">
        <v>0.12</v>
      </c>
      <c r="AD13" s="39">
        <v>0.21199999999999999</v>
      </c>
      <c r="AE13" s="39">
        <v>0.28599999999999998</v>
      </c>
      <c r="AF13" s="39">
        <v>0.375</v>
      </c>
      <c r="AG13" s="39">
        <v>0.42299999999999999</v>
      </c>
      <c r="AH13" s="39">
        <v>0.45</v>
      </c>
      <c r="AI13" s="39">
        <v>0.11700000000000001</v>
      </c>
      <c r="AJ13" s="39">
        <v>0.20499999999999999</v>
      </c>
      <c r="AK13" s="39">
        <v>0.28599999999999998</v>
      </c>
      <c r="AL13" s="39">
        <v>0.373</v>
      </c>
      <c r="AM13" s="39">
        <v>0.41499999999999998</v>
      </c>
      <c r="AN13" s="39">
        <v>0.44500000000000001</v>
      </c>
      <c r="AO13" s="39">
        <v>771.24300000000005</v>
      </c>
      <c r="AP13" s="39">
        <v>878.19</v>
      </c>
      <c r="AQ13" s="39">
        <v>942.45399999999995</v>
      </c>
      <c r="AR13" s="39">
        <v>1001.82</v>
      </c>
      <c r="AS13" s="39">
        <v>1035.18</v>
      </c>
      <c r="AT13" s="39">
        <v>1122.46</v>
      </c>
      <c r="AU13" s="42">
        <v>15.185</v>
      </c>
      <c r="AV13" s="42">
        <v>32.718000000000004</v>
      </c>
      <c r="AW13" s="39">
        <v>42.244999999999997</v>
      </c>
      <c r="AX13" s="39">
        <v>54.819000000000003</v>
      </c>
      <c r="AY13" s="39">
        <v>59.835999999999999</v>
      </c>
      <c r="AZ13" s="39">
        <v>82.128</v>
      </c>
      <c r="BA13" s="39">
        <v>0.24199999999999999</v>
      </c>
      <c r="BB13" s="39">
        <v>0.47</v>
      </c>
      <c r="BC13" s="39">
        <v>0.63700000000000001</v>
      </c>
      <c r="BD13" s="39">
        <v>0.76500000000000001</v>
      </c>
      <c r="BE13" s="39">
        <v>0.90400000000000003</v>
      </c>
      <c r="BF13" s="39">
        <v>0.10929999999999999</v>
      </c>
      <c r="BG13" s="39">
        <v>0.23599999999999999</v>
      </c>
      <c r="BH13" s="39">
        <v>0.46500000000000002</v>
      </c>
      <c r="BI13" s="39">
        <v>0.622</v>
      </c>
      <c r="BJ13" s="39">
        <v>0.75</v>
      </c>
      <c r="BK13" s="39">
        <v>0.88700000000000001</v>
      </c>
      <c r="BL13" s="39">
        <v>1.0840000000000001</v>
      </c>
      <c r="BM13" s="47"/>
      <c r="BN13" s="34"/>
    </row>
    <row r="14" spans="1:66">
      <c r="A14" s="51"/>
      <c r="B14" s="51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</row>
    <row r="15" spans="1:66">
      <c r="A15" s="51"/>
      <c r="B15" s="51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</row>
    <row r="16" spans="1:66">
      <c r="A16" s="51"/>
      <c r="B16" s="51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</row>
    <row r="17" spans="1:65">
      <c r="A17" s="51"/>
      <c r="B17" s="51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</row>
    <row r="18" spans="1:6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</row>
    <row r="19" spans="1:6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</row>
    <row r="20" spans="1:6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</row>
    <row r="21" spans="1:6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</row>
    <row r="22" spans="1:6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</row>
    <row r="23" spans="1:6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</row>
    <row r="24" spans="1:6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</row>
    <row r="25" spans="1:6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</row>
    <row r="26" spans="1:6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</row>
    <row r="27" spans="1:6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</row>
    <row r="28" spans="1:6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</row>
    <row r="29" spans="1:6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</row>
    <row r="30" spans="1:6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</row>
    <row r="31" spans="1:6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</row>
    <row r="32" spans="1:6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B704-F217-4948-960A-6158DF1A9A1D}">
  <dimension ref="A1:BQ13"/>
  <sheetViews>
    <sheetView topLeftCell="Q8" workbookViewId="0">
      <selection activeCell="BO15" sqref="U15:BO32"/>
    </sheetView>
  </sheetViews>
  <sheetFormatPr defaultRowHeight="15"/>
  <cols>
    <col min="4" max="4" width="15.28515625" customWidth="1"/>
    <col min="5" max="5" width="14.42578125" customWidth="1"/>
    <col min="8" max="8" width="15.7109375" customWidth="1"/>
    <col min="9" max="9" width="15" customWidth="1"/>
    <col min="10" max="11" width="19.28515625" customWidth="1"/>
    <col min="12" max="12" width="14.85546875" customWidth="1"/>
    <col min="16" max="16" width="12.5703125" customWidth="1"/>
    <col min="29" max="29" width="9.42578125" customWidth="1"/>
    <col min="58" max="58" width="14.85546875" customWidth="1"/>
    <col min="59" max="59" width="18.140625" customWidth="1"/>
    <col min="64" max="64" width="24" customWidth="1"/>
    <col min="65" max="65" width="37.140625" customWidth="1"/>
    <col min="66" max="66" width="37.42578125" customWidth="1"/>
    <col min="67" max="67" width="24.7109375" customWidth="1"/>
    <col min="68" max="68" width="18.5703125" customWidth="1"/>
    <col min="69" max="69" width="18.7109375" customWidth="1"/>
  </cols>
  <sheetData>
    <row r="1" spans="1:69">
      <c r="A1" s="3" t="s">
        <v>197</v>
      </c>
      <c r="B1" s="3" t="s">
        <v>198</v>
      </c>
      <c r="C1" s="3" t="s">
        <v>199</v>
      </c>
      <c r="D1" s="3" t="s">
        <v>200</v>
      </c>
      <c r="E1" s="3" t="s">
        <v>201</v>
      </c>
      <c r="F1" s="3" t="s">
        <v>202</v>
      </c>
      <c r="G1" s="3" t="s">
        <v>203</v>
      </c>
      <c r="H1" s="3" t="s">
        <v>204</v>
      </c>
      <c r="I1" s="3" t="s">
        <v>205</v>
      </c>
      <c r="J1" s="3" t="s">
        <v>206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211</v>
      </c>
      <c r="P1" s="3" t="s">
        <v>212</v>
      </c>
      <c r="Q1" s="3" t="s">
        <v>213</v>
      </c>
      <c r="R1" s="3" t="s">
        <v>214</v>
      </c>
      <c r="S1" s="3" t="s">
        <v>215</v>
      </c>
      <c r="T1" s="3" t="s">
        <v>216</v>
      </c>
      <c r="U1" s="3" t="s">
        <v>217</v>
      </c>
      <c r="V1" s="3" t="s">
        <v>218</v>
      </c>
      <c r="W1" s="3" t="s">
        <v>219</v>
      </c>
      <c r="X1" s="3" t="s">
        <v>220</v>
      </c>
      <c r="Y1" s="3" t="s">
        <v>221</v>
      </c>
      <c r="Z1" s="3" t="s">
        <v>222</v>
      </c>
      <c r="AA1" s="3" t="s">
        <v>223</v>
      </c>
      <c r="AB1" s="3" t="s">
        <v>224</v>
      </c>
      <c r="AC1" s="3" t="s">
        <v>225</v>
      </c>
      <c r="AD1" s="3" t="s">
        <v>226</v>
      </c>
      <c r="AE1" s="3" t="s">
        <v>227</v>
      </c>
      <c r="AF1" s="3" t="s">
        <v>228</v>
      </c>
      <c r="AG1" s="3" t="s">
        <v>229</v>
      </c>
      <c r="AH1" s="3" t="s">
        <v>230</v>
      </c>
      <c r="AI1" s="3" t="s">
        <v>231</v>
      </c>
      <c r="AJ1" s="3" t="s">
        <v>232</v>
      </c>
      <c r="AK1" s="3" t="s">
        <v>233</v>
      </c>
      <c r="AL1" s="3" t="s">
        <v>234</v>
      </c>
      <c r="AM1" s="3" t="s">
        <v>235</v>
      </c>
      <c r="AN1" s="3" t="s">
        <v>236</v>
      </c>
      <c r="AO1" s="3" t="s">
        <v>237</v>
      </c>
      <c r="AP1" s="3" t="s">
        <v>238</v>
      </c>
      <c r="AQ1" s="3" t="s">
        <v>239</v>
      </c>
      <c r="AR1" s="3" t="s">
        <v>240</v>
      </c>
      <c r="AS1" s="3" t="s">
        <v>241</v>
      </c>
      <c r="AT1" s="3" t="s">
        <v>242</v>
      </c>
      <c r="AU1" s="3" t="s">
        <v>243</v>
      </c>
      <c r="AV1" s="3" t="s">
        <v>244</v>
      </c>
      <c r="AW1" s="3" t="s">
        <v>245</v>
      </c>
      <c r="AX1" s="3" t="s">
        <v>246</v>
      </c>
      <c r="AY1" s="3" t="s">
        <v>247</v>
      </c>
      <c r="AZ1" s="3" t="s">
        <v>248</v>
      </c>
      <c r="BA1" s="3" t="s">
        <v>249</v>
      </c>
      <c r="BB1" s="3" t="s">
        <v>250</v>
      </c>
      <c r="BC1" s="3" t="s">
        <v>251</v>
      </c>
      <c r="BD1" s="3" t="s">
        <v>252</v>
      </c>
      <c r="BE1" s="3" t="s">
        <v>253</v>
      </c>
      <c r="BF1" s="3" t="s">
        <v>254</v>
      </c>
      <c r="BG1" s="3" t="s">
        <v>255</v>
      </c>
      <c r="BH1" s="3" t="s">
        <v>256</v>
      </c>
      <c r="BI1" s="3" t="s">
        <v>257</v>
      </c>
      <c r="BJ1" s="3" t="s">
        <v>258</v>
      </c>
      <c r="BK1" s="3" t="s">
        <v>259</v>
      </c>
      <c r="BL1" s="3" t="s">
        <v>260</v>
      </c>
      <c r="BM1" s="3" t="s">
        <v>261</v>
      </c>
      <c r="BN1" s="3" t="s">
        <v>262</v>
      </c>
      <c r="BO1" s="3" t="s">
        <v>263</v>
      </c>
      <c r="BP1" s="3" t="s">
        <v>264</v>
      </c>
      <c r="BQ1" s="3" t="s">
        <v>265</v>
      </c>
    </row>
    <row r="2" spans="1:69">
      <c r="A2">
        <v>1646961</v>
      </c>
      <c r="B2" t="s">
        <v>266</v>
      </c>
      <c r="C2" t="s">
        <v>267</v>
      </c>
      <c r="D2">
        <v>42.559722000000001</v>
      </c>
      <c r="E2" t="s">
        <v>268</v>
      </c>
      <c r="F2" t="s">
        <v>269</v>
      </c>
      <c r="G2" t="s">
        <v>268</v>
      </c>
      <c r="H2" t="s">
        <v>267</v>
      </c>
      <c r="I2" t="s">
        <v>169</v>
      </c>
      <c r="J2" t="s">
        <v>270</v>
      </c>
      <c r="K2" t="s">
        <v>271</v>
      </c>
      <c r="L2" t="s">
        <v>272</v>
      </c>
      <c r="M2" t="s">
        <v>273</v>
      </c>
      <c r="N2" t="s">
        <v>274</v>
      </c>
      <c r="O2" t="s">
        <v>275</v>
      </c>
      <c r="P2" t="s">
        <v>276</v>
      </c>
      <c r="Q2" t="s">
        <v>277</v>
      </c>
      <c r="R2" t="s">
        <v>278</v>
      </c>
      <c r="S2" t="s">
        <v>279</v>
      </c>
      <c r="T2" t="s">
        <v>280</v>
      </c>
      <c r="U2" t="s">
        <v>281</v>
      </c>
      <c r="V2" t="s">
        <v>282</v>
      </c>
      <c r="W2" t="s">
        <v>283</v>
      </c>
      <c r="X2" t="s">
        <v>284</v>
      </c>
      <c r="Y2" t="s">
        <v>285</v>
      </c>
      <c r="Z2" t="s">
        <v>286</v>
      </c>
      <c r="AA2" t="s">
        <v>279</v>
      </c>
      <c r="AB2" t="s">
        <v>287</v>
      </c>
      <c r="AC2" t="s">
        <v>288</v>
      </c>
      <c r="AD2" t="s">
        <v>289</v>
      </c>
      <c r="AE2" t="s">
        <v>279</v>
      </c>
      <c r="AF2" t="s">
        <v>290</v>
      </c>
      <c r="AG2" t="s">
        <v>174</v>
      </c>
      <c r="AH2" t="s">
        <v>291</v>
      </c>
      <c r="AI2" t="s">
        <v>292</v>
      </c>
      <c r="AJ2" t="s">
        <v>293</v>
      </c>
      <c r="AK2" t="s">
        <v>294</v>
      </c>
      <c r="AL2" t="s">
        <v>295</v>
      </c>
      <c r="AM2" t="s">
        <v>296</v>
      </c>
      <c r="AN2" t="s">
        <v>293</v>
      </c>
      <c r="AO2" t="s">
        <v>294</v>
      </c>
      <c r="AP2" t="s">
        <v>297</v>
      </c>
      <c r="AQ2" t="s">
        <v>298</v>
      </c>
      <c r="AR2" t="s">
        <v>299</v>
      </c>
      <c r="AS2" t="s">
        <v>300</v>
      </c>
      <c r="AT2" t="s">
        <v>301</v>
      </c>
      <c r="AU2" t="s">
        <v>298</v>
      </c>
      <c r="AV2" t="s">
        <v>302</v>
      </c>
      <c r="AW2" t="s">
        <v>284</v>
      </c>
      <c r="AX2" t="s">
        <v>303</v>
      </c>
      <c r="AY2" t="s">
        <v>298</v>
      </c>
      <c r="AZ2" t="s">
        <v>304</v>
      </c>
      <c r="BA2" t="s">
        <v>305</v>
      </c>
      <c r="BB2" t="s">
        <v>306</v>
      </c>
      <c r="BC2" t="s">
        <v>298</v>
      </c>
      <c r="BD2" t="s">
        <v>307</v>
      </c>
      <c r="BE2" t="s">
        <v>308</v>
      </c>
      <c r="BF2" t="s">
        <v>170</v>
      </c>
      <c r="BG2" t="s">
        <v>296</v>
      </c>
      <c r="BH2" t="s">
        <v>309</v>
      </c>
      <c r="BI2" t="s">
        <v>274</v>
      </c>
      <c r="BJ2" t="s">
        <v>172</v>
      </c>
      <c r="BK2" t="s">
        <v>296</v>
      </c>
      <c r="BL2" t="s">
        <v>308</v>
      </c>
      <c r="BM2" t="s">
        <v>310</v>
      </c>
      <c r="BN2" t="s">
        <v>311</v>
      </c>
      <c r="BO2" t="s">
        <v>312</v>
      </c>
      <c r="BP2" t="s">
        <v>313</v>
      </c>
      <c r="BQ2" t="s">
        <v>314</v>
      </c>
    </row>
    <row r="3" spans="1:69">
      <c r="A3">
        <v>1646945</v>
      </c>
      <c r="B3" t="s">
        <v>266</v>
      </c>
      <c r="C3" t="s">
        <v>267</v>
      </c>
      <c r="D3">
        <v>42.559722000000001</v>
      </c>
      <c r="E3" t="s">
        <v>268</v>
      </c>
      <c r="F3" t="s">
        <v>269</v>
      </c>
      <c r="G3" t="s">
        <v>268</v>
      </c>
      <c r="H3" t="s">
        <v>267</v>
      </c>
      <c r="I3" t="s">
        <v>171</v>
      </c>
      <c r="J3" t="s">
        <v>270</v>
      </c>
      <c r="K3" t="s">
        <v>271</v>
      </c>
      <c r="L3" t="s">
        <v>315</v>
      </c>
      <c r="M3" t="s">
        <v>316</v>
      </c>
      <c r="N3" t="s">
        <v>317</v>
      </c>
      <c r="O3" t="s">
        <v>275</v>
      </c>
      <c r="P3" t="s">
        <v>276</v>
      </c>
      <c r="Q3" t="s">
        <v>277</v>
      </c>
      <c r="R3" t="s">
        <v>318</v>
      </c>
      <c r="S3" t="s">
        <v>279</v>
      </c>
      <c r="T3" t="s">
        <v>280</v>
      </c>
      <c r="U3" t="s">
        <v>281</v>
      </c>
      <c r="V3" t="s">
        <v>319</v>
      </c>
      <c r="W3" t="s">
        <v>283</v>
      </c>
      <c r="X3" t="s">
        <v>284</v>
      </c>
      <c r="Y3" t="s">
        <v>285</v>
      </c>
      <c r="Z3" t="s">
        <v>320</v>
      </c>
      <c r="AA3" t="s">
        <v>279</v>
      </c>
      <c r="AB3" t="s">
        <v>287</v>
      </c>
      <c r="AC3" t="s">
        <v>288</v>
      </c>
      <c r="AD3" t="s">
        <v>321</v>
      </c>
      <c r="AE3" t="s">
        <v>279</v>
      </c>
      <c r="AF3" t="s">
        <v>290</v>
      </c>
      <c r="AG3" t="s">
        <v>174</v>
      </c>
      <c r="AH3" t="s">
        <v>322</v>
      </c>
      <c r="AI3" t="s">
        <v>292</v>
      </c>
      <c r="AJ3" t="s">
        <v>293</v>
      </c>
      <c r="AK3" t="s">
        <v>294</v>
      </c>
      <c r="AL3" t="s">
        <v>295</v>
      </c>
      <c r="AM3" t="s">
        <v>296</v>
      </c>
      <c r="AN3" t="s">
        <v>293</v>
      </c>
      <c r="AO3" t="s">
        <v>294</v>
      </c>
      <c r="AP3" t="s">
        <v>323</v>
      </c>
      <c r="AQ3" t="s">
        <v>298</v>
      </c>
      <c r="AR3" t="s">
        <v>299</v>
      </c>
      <c r="AS3" t="s">
        <v>300</v>
      </c>
      <c r="AT3" t="s">
        <v>324</v>
      </c>
      <c r="AU3" t="s">
        <v>298</v>
      </c>
      <c r="AV3" t="s">
        <v>302</v>
      </c>
      <c r="AW3" t="s">
        <v>284</v>
      </c>
      <c r="AX3" t="s">
        <v>325</v>
      </c>
      <c r="AY3" t="s">
        <v>298</v>
      </c>
      <c r="AZ3" t="s">
        <v>304</v>
      </c>
      <c r="BA3" t="s">
        <v>305</v>
      </c>
      <c r="BB3" t="s">
        <v>326</v>
      </c>
      <c r="BC3" t="s">
        <v>298</v>
      </c>
      <c r="BD3" t="s">
        <v>307</v>
      </c>
      <c r="BE3" t="s">
        <v>308</v>
      </c>
      <c r="BF3" t="s">
        <v>172</v>
      </c>
      <c r="BG3" t="s">
        <v>296</v>
      </c>
      <c r="BH3" t="s">
        <v>309</v>
      </c>
      <c r="BI3" t="s">
        <v>274</v>
      </c>
      <c r="BJ3" t="s">
        <v>327</v>
      </c>
      <c r="BK3" t="s">
        <v>296</v>
      </c>
      <c r="BL3" t="s">
        <v>308</v>
      </c>
      <c r="BM3" t="s">
        <v>310</v>
      </c>
      <c r="BN3" t="s">
        <v>328</v>
      </c>
      <c r="BO3" t="s">
        <v>312</v>
      </c>
      <c r="BP3" t="s">
        <v>313</v>
      </c>
      <c r="BQ3" t="s">
        <v>314</v>
      </c>
    </row>
    <row r="4" spans="1:69">
      <c r="A4">
        <v>1646928</v>
      </c>
      <c r="B4" t="s">
        <v>266</v>
      </c>
      <c r="C4" t="s">
        <v>267</v>
      </c>
      <c r="D4">
        <v>42.559722000000001</v>
      </c>
      <c r="E4" t="s">
        <v>268</v>
      </c>
      <c r="F4" t="s">
        <v>269</v>
      </c>
      <c r="G4" t="s">
        <v>268</v>
      </c>
      <c r="H4" t="s">
        <v>267</v>
      </c>
      <c r="I4" t="s">
        <v>159</v>
      </c>
      <c r="J4" t="s">
        <v>270</v>
      </c>
      <c r="K4" t="s">
        <v>271</v>
      </c>
      <c r="L4" t="s">
        <v>329</v>
      </c>
      <c r="M4" t="s">
        <v>330</v>
      </c>
      <c r="N4" t="s">
        <v>317</v>
      </c>
      <c r="O4" t="s">
        <v>275</v>
      </c>
      <c r="P4" t="s">
        <v>276</v>
      </c>
      <c r="Q4" t="s">
        <v>277</v>
      </c>
      <c r="R4" t="s">
        <v>331</v>
      </c>
      <c r="S4" t="s">
        <v>279</v>
      </c>
      <c r="T4" t="s">
        <v>280</v>
      </c>
      <c r="U4" t="s">
        <v>281</v>
      </c>
      <c r="V4" t="s">
        <v>332</v>
      </c>
      <c r="W4" t="s">
        <v>283</v>
      </c>
      <c r="X4" t="s">
        <v>284</v>
      </c>
      <c r="Y4" t="s">
        <v>285</v>
      </c>
      <c r="Z4" t="s">
        <v>333</v>
      </c>
      <c r="AA4" t="s">
        <v>279</v>
      </c>
      <c r="AB4" t="s">
        <v>287</v>
      </c>
      <c r="AC4" t="s">
        <v>288</v>
      </c>
      <c r="AD4" t="s">
        <v>334</v>
      </c>
      <c r="AE4" t="s">
        <v>279</v>
      </c>
      <c r="AF4" t="s">
        <v>290</v>
      </c>
      <c r="AG4" t="s">
        <v>174</v>
      </c>
      <c r="AH4" t="s">
        <v>335</v>
      </c>
      <c r="AI4" t="s">
        <v>292</v>
      </c>
      <c r="AJ4" t="s">
        <v>293</v>
      </c>
      <c r="AK4" t="s">
        <v>294</v>
      </c>
      <c r="AL4" t="s">
        <v>336</v>
      </c>
      <c r="AM4" t="s">
        <v>296</v>
      </c>
      <c r="AN4" t="s">
        <v>293</v>
      </c>
      <c r="AO4" t="s">
        <v>294</v>
      </c>
      <c r="AP4" t="s">
        <v>337</v>
      </c>
      <c r="AQ4" t="s">
        <v>298</v>
      </c>
      <c r="AR4" t="s">
        <v>299</v>
      </c>
      <c r="AS4" t="s">
        <v>300</v>
      </c>
      <c r="AT4" t="s">
        <v>338</v>
      </c>
      <c r="AU4" t="s">
        <v>298</v>
      </c>
      <c r="AV4" t="s">
        <v>302</v>
      </c>
      <c r="AW4" t="s">
        <v>284</v>
      </c>
      <c r="AX4" t="s">
        <v>339</v>
      </c>
      <c r="AY4" t="s">
        <v>298</v>
      </c>
      <c r="AZ4" t="s">
        <v>304</v>
      </c>
      <c r="BA4" t="s">
        <v>305</v>
      </c>
      <c r="BB4" t="s">
        <v>291</v>
      </c>
      <c r="BC4" t="s">
        <v>298</v>
      </c>
      <c r="BD4" t="s">
        <v>307</v>
      </c>
      <c r="BE4" t="s">
        <v>308</v>
      </c>
      <c r="BF4" t="s">
        <v>160</v>
      </c>
      <c r="BG4" t="s">
        <v>296</v>
      </c>
      <c r="BH4" t="s">
        <v>309</v>
      </c>
      <c r="BI4" t="s">
        <v>274</v>
      </c>
      <c r="BJ4" t="s">
        <v>289</v>
      </c>
      <c r="BK4" t="s">
        <v>296</v>
      </c>
      <c r="BL4" t="s">
        <v>308</v>
      </c>
      <c r="BM4" t="s">
        <v>310</v>
      </c>
      <c r="BN4" t="s">
        <v>340</v>
      </c>
      <c r="BO4" t="s">
        <v>312</v>
      </c>
      <c r="BP4" t="s">
        <v>313</v>
      </c>
      <c r="BQ4" t="s">
        <v>314</v>
      </c>
    </row>
    <row r="5" spans="1:69">
      <c r="A5">
        <v>1646908</v>
      </c>
      <c r="B5" t="s">
        <v>266</v>
      </c>
      <c r="C5" t="s">
        <v>267</v>
      </c>
      <c r="D5">
        <v>42.559722000000001</v>
      </c>
      <c r="E5" t="s">
        <v>268</v>
      </c>
      <c r="F5" t="s">
        <v>269</v>
      </c>
      <c r="G5" t="s">
        <v>268</v>
      </c>
      <c r="H5" t="s">
        <v>267</v>
      </c>
      <c r="I5" t="s">
        <v>179</v>
      </c>
      <c r="J5" t="s">
        <v>270</v>
      </c>
      <c r="K5" t="s">
        <v>271</v>
      </c>
      <c r="L5" t="s">
        <v>341</v>
      </c>
      <c r="M5" t="s">
        <v>316</v>
      </c>
      <c r="N5" t="s">
        <v>342</v>
      </c>
      <c r="O5" t="s">
        <v>275</v>
      </c>
      <c r="P5" t="s">
        <v>276</v>
      </c>
      <c r="Q5" t="s">
        <v>277</v>
      </c>
      <c r="R5" t="s">
        <v>343</v>
      </c>
      <c r="S5" t="s">
        <v>279</v>
      </c>
      <c r="T5" t="s">
        <v>280</v>
      </c>
      <c r="U5" t="s">
        <v>281</v>
      </c>
      <c r="V5" t="s">
        <v>344</v>
      </c>
      <c r="W5" t="s">
        <v>283</v>
      </c>
      <c r="X5" t="s">
        <v>284</v>
      </c>
      <c r="Y5" t="s">
        <v>285</v>
      </c>
      <c r="Z5" t="s">
        <v>345</v>
      </c>
      <c r="AA5" t="s">
        <v>279</v>
      </c>
      <c r="AB5" t="s">
        <v>287</v>
      </c>
      <c r="AC5" t="s">
        <v>288</v>
      </c>
      <c r="AD5" t="s">
        <v>327</v>
      </c>
      <c r="AE5" t="s">
        <v>279</v>
      </c>
      <c r="AF5" t="s">
        <v>290</v>
      </c>
      <c r="AG5" t="s">
        <v>174</v>
      </c>
      <c r="AH5" t="s">
        <v>346</v>
      </c>
      <c r="AI5" t="s">
        <v>292</v>
      </c>
      <c r="AJ5" t="s">
        <v>293</v>
      </c>
      <c r="AK5" t="s">
        <v>294</v>
      </c>
      <c r="AL5" t="s">
        <v>334</v>
      </c>
      <c r="AM5" t="s">
        <v>296</v>
      </c>
      <c r="AN5" t="s">
        <v>293</v>
      </c>
      <c r="AO5" t="s">
        <v>294</v>
      </c>
      <c r="AP5" t="s">
        <v>311</v>
      </c>
      <c r="AQ5" t="s">
        <v>298</v>
      </c>
      <c r="AR5" t="s">
        <v>299</v>
      </c>
      <c r="AS5" t="s">
        <v>300</v>
      </c>
      <c r="AT5" t="s">
        <v>347</v>
      </c>
      <c r="AU5" t="s">
        <v>298</v>
      </c>
      <c r="AV5" t="s">
        <v>302</v>
      </c>
      <c r="AW5" t="s">
        <v>284</v>
      </c>
      <c r="AX5" t="s">
        <v>348</v>
      </c>
      <c r="AY5" t="s">
        <v>298</v>
      </c>
      <c r="AZ5" t="s">
        <v>304</v>
      </c>
      <c r="BA5" t="s">
        <v>305</v>
      </c>
      <c r="BB5" t="s">
        <v>295</v>
      </c>
      <c r="BC5" t="s">
        <v>298</v>
      </c>
      <c r="BD5" t="s">
        <v>307</v>
      </c>
      <c r="BE5" t="s">
        <v>308</v>
      </c>
      <c r="BF5" t="s">
        <v>176</v>
      </c>
      <c r="BG5" t="s">
        <v>296</v>
      </c>
      <c r="BH5" t="s">
        <v>309</v>
      </c>
      <c r="BI5" t="s">
        <v>274</v>
      </c>
      <c r="BJ5" t="s">
        <v>349</v>
      </c>
      <c r="BK5" t="s">
        <v>296</v>
      </c>
      <c r="BL5" t="s">
        <v>308</v>
      </c>
      <c r="BM5" t="s">
        <v>310</v>
      </c>
      <c r="BN5" t="s">
        <v>350</v>
      </c>
      <c r="BO5" t="s">
        <v>312</v>
      </c>
      <c r="BP5" t="s">
        <v>313</v>
      </c>
      <c r="BQ5" t="s">
        <v>314</v>
      </c>
    </row>
    <row r="6" spans="1:69">
      <c r="A6">
        <v>1646891</v>
      </c>
      <c r="B6" t="s">
        <v>266</v>
      </c>
      <c r="C6" t="s">
        <v>267</v>
      </c>
      <c r="D6">
        <v>42.559722000000001</v>
      </c>
      <c r="E6" t="s">
        <v>268</v>
      </c>
      <c r="F6" t="s">
        <v>269</v>
      </c>
      <c r="G6" t="s">
        <v>268</v>
      </c>
      <c r="H6" t="s">
        <v>267</v>
      </c>
      <c r="I6" t="s">
        <v>177</v>
      </c>
      <c r="J6" t="s">
        <v>270</v>
      </c>
      <c r="K6" t="s">
        <v>271</v>
      </c>
      <c r="L6" t="s">
        <v>351</v>
      </c>
      <c r="M6" t="s">
        <v>352</v>
      </c>
      <c r="N6" t="s">
        <v>342</v>
      </c>
      <c r="O6" t="s">
        <v>275</v>
      </c>
      <c r="P6" t="s">
        <v>276</v>
      </c>
      <c r="Q6" t="s">
        <v>277</v>
      </c>
      <c r="R6" t="s">
        <v>305</v>
      </c>
      <c r="S6" t="s">
        <v>279</v>
      </c>
      <c r="T6" t="s">
        <v>280</v>
      </c>
      <c r="U6" t="s">
        <v>281</v>
      </c>
      <c r="V6" t="s">
        <v>353</v>
      </c>
      <c r="W6" t="s">
        <v>283</v>
      </c>
      <c r="X6" t="s">
        <v>284</v>
      </c>
      <c r="Y6" t="s">
        <v>285</v>
      </c>
      <c r="Z6" t="s">
        <v>354</v>
      </c>
      <c r="AA6" t="s">
        <v>279</v>
      </c>
      <c r="AB6" t="s">
        <v>287</v>
      </c>
      <c r="AC6" t="s">
        <v>288</v>
      </c>
      <c r="AD6" t="s">
        <v>355</v>
      </c>
      <c r="AE6" t="s">
        <v>279</v>
      </c>
      <c r="AF6" t="s">
        <v>290</v>
      </c>
      <c r="AG6" t="s">
        <v>174</v>
      </c>
      <c r="AH6" t="s">
        <v>356</v>
      </c>
      <c r="AI6" t="s">
        <v>292</v>
      </c>
      <c r="AJ6" t="s">
        <v>293</v>
      </c>
      <c r="AK6" t="s">
        <v>294</v>
      </c>
      <c r="AL6" t="s">
        <v>357</v>
      </c>
      <c r="AM6" t="s">
        <v>296</v>
      </c>
      <c r="AN6" t="s">
        <v>293</v>
      </c>
      <c r="AO6" t="s">
        <v>294</v>
      </c>
      <c r="AP6" t="s">
        <v>358</v>
      </c>
      <c r="AQ6" t="s">
        <v>298</v>
      </c>
      <c r="AR6" t="s">
        <v>299</v>
      </c>
      <c r="AS6" t="s">
        <v>300</v>
      </c>
      <c r="AT6" t="s">
        <v>359</v>
      </c>
      <c r="AU6" t="s">
        <v>298</v>
      </c>
      <c r="AV6" t="s">
        <v>302</v>
      </c>
      <c r="AW6" t="s">
        <v>284</v>
      </c>
      <c r="AX6" t="s">
        <v>360</v>
      </c>
      <c r="AY6" t="s">
        <v>298</v>
      </c>
      <c r="AZ6" t="s">
        <v>304</v>
      </c>
      <c r="BA6" t="s">
        <v>305</v>
      </c>
      <c r="BB6" t="s">
        <v>361</v>
      </c>
      <c r="BC6" t="s">
        <v>298</v>
      </c>
      <c r="BD6" t="s">
        <v>307</v>
      </c>
      <c r="BE6" t="s">
        <v>308</v>
      </c>
      <c r="BF6" t="s">
        <v>178</v>
      </c>
      <c r="BG6" t="s">
        <v>296</v>
      </c>
      <c r="BH6" t="s">
        <v>309</v>
      </c>
      <c r="BI6" t="s">
        <v>274</v>
      </c>
      <c r="BJ6" t="s">
        <v>362</v>
      </c>
      <c r="BK6" t="s">
        <v>296</v>
      </c>
      <c r="BL6" t="s">
        <v>308</v>
      </c>
      <c r="BM6" t="s">
        <v>310</v>
      </c>
      <c r="BN6" t="s">
        <v>363</v>
      </c>
      <c r="BO6" t="s">
        <v>312</v>
      </c>
      <c r="BP6" t="s">
        <v>313</v>
      </c>
      <c r="BQ6" t="s">
        <v>314</v>
      </c>
    </row>
    <row r="7" spans="1:69">
      <c r="A7">
        <v>1646876</v>
      </c>
      <c r="B7" t="s">
        <v>266</v>
      </c>
      <c r="C7" t="s">
        <v>267</v>
      </c>
      <c r="D7">
        <v>42.559722000000001</v>
      </c>
      <c r="E7" t="s">
        <v>268</v>
      </c>
      <c r="F7" t="s">
        <v>269</v>
      </c>
      <c r="G7" t="s">
        <v>268</v>
      </c>
      <c r="H7" t="s">
        <v>267</v>
      </c>
      <c r="I7" t="s">
        <v>175</v>
      </c>
      <c r="J7" t="s">
        <v>270</v>
      </c>
      <c r="K7" t="s">
        <v>271</v>
      </c>
      <c r="L7" t="s">
        <v>364</v>
      </c>
      <c r="M7" t="s">
        <v>273</v>
      </c>
      <c r="N7" t="s">
        <v>331</v>
      </c>
      <c r="O7" t="s">
        <v>275</v>
      </c>
      <c r="P7" t="s">
        <v>276</v>
      </c>
      <c r="Q7" t="s">
        <v>277</v>
      </c>
      <c r="R7" t="s">
        <v>365</v>
      </c>
      <c r="S7" t="s">
        <v>279</v>
      </c>
      <c r="T7" t="s">
        <v>280</v>
      </c>
      <c r="U7" t="s">
        <v>281</v>
      </c>
      <c r="V7" t="s">
        <v>366</v>
      </c>
      <c r="W7" t="s">
        <v>283</v>
      </c>
      <c r="X7" t="s">
        <v>284</v>
      </c>
      <c r="Y7" t="s">
        <v>285</v>
      </c>
      <c r="Z7" t="s">
        <v>367</v>
      </c>
      <c r="AA7" t="s">
        <v>279</v>
      </c>
      <c r="AB7" t="s">
        <v>287</v>
      </c>
      <c r="AC7" t="s">
        <v>288</v>
      </c>
      <c r="AD7" t="s">
        <v>368</v>
      </c>
      <c r="AE7" t="s">
        <v>279</v>
      </c>
      <c r="AF7" t="s">
        <v>290</v>
      </c>
      <c r="AG7" t="s">
        <v>174</v>
      </c>
      <c r="AH7" t="s">
        <v>321</v>
      </c>
      <c r="AI7" t="s">
        <v>292</v>
      </c>
      <c r="AJ7" t="s">
        <v>293</v>
      </c>
      <c r="AK7" t="s">
        <v>294</v>
      </c>
      <c r="AL7" t="s">
        <v>295</v>
      </c>
      <c r="AM7" t="s">
        <v>296</v>
      </c>
      <c r="AN7" t="s">
        <v>293</v>
      </c>
      <c r="AO7" t="s">
        <v>294</v>
      </c>
      <c r="AP7" t="s">
        <v>369</v>
      </c>
      <c r="AQ7" t="s">
        <v>298</v>
      </c>
      <c r="AR7" t="s">
        <v>299</v>
      </c>
      <c r="AS7" t="s">
        <v>300</v>
      </c>
      <c r="AT7" t="s">
        <v>370</v>
      </c>
      <c r="AU7" t="s">
        <v>298</v>
      </c>
      <c r="AV7" t="s">
        <v>302</v>
      </c>
      <c r="AW7" t="s">
        <v>284</v>
      </c>
      <c r="AX7" t="s">
        <v>371</v>
      </c>
      <c r="AY7" t="s">
        <v>298</v>
      </c>
      <c r="AZ7" t="s">
        <v>304</v>
      </c>
      <c r="BA7" t="s">
        <v>305</v>
      </c>
      <c r="BB7" t="s">
        <v>372</v>
      </c>
      <c r="BC7" t="s">
        <v>298</v>
      </c>
      <c r="BD7" t="s">
        <v>307</v>
      </c>
      <c r="BE7" t="s">
        <v>308</v>
      </c>
      <c r="BF7" t="s">
        <v>176</v>
      </c>
      <c r="BG7" t="s">
        <v>296</v>
      </c>
      <c r="BH7" t="s">
        <v>309</v>
      </c>
      <c r="BI7" t="s">
        <v>274</v>
      </c>
      <c r="BJ7" t="s">
        <v>162</v>
      </c>
      <c r="BK7" t="s">
        <v>296</v>
      </c>
      <c r="BL7" t="s">
        <v>308</v>
      </c>
      <c r="BM7" t="s">
        <v>310</v>
      </c>
      <c r="BN7" t="s">
        <v>373</v>
      </c>
      <c r="BO7" t="s">
        <v>312</v>
      </c>
      <c r="BP7" t="s">
        <v>313</v>
      </c>
      <c r="BQ7" t="s">
        <v>314</v>
      </c>
    </row>
    <row r="8" spans="1:69">
      <c r="A8">
        <v>1646853</v>
      </c>
      <c r="B8" t="s">
        <v>266</v>
      </c>
      <c r="C8" t="s">
        <v>267</v>
      </c>
      <c r="D8">
        <v>42.559722000000001</v>
      </c>
      <c r="E8" t="s">
        <v>268</v>
      </c>
      <c r="F8" t="s">
        <v>269</v>
      </c>
      <c r="G8" t="s">
        <v>268</v>
      </c>
      <c r="H8" t="s">
        <v>267</v>
      </c>
      <c r="I8" t="s">
        <v>157</v>
      </c>
      <c r="J8" t="s">
        <v>270</v>
      </c>
      <c r="K8" t="s">
        <v>271</v>
      </c>
      <c r="L8" t="s">
        <v>374</v>
      </c>
      <c r="M8" t="s">
        <v>330</v>
      </c>
      <c r="N8" t="s">
        <v>274</v>
      </c>
      <c r="O8" t="s">
        <v>275</v>
      </c>
      <c r="P8" t="s">
        <v>276</v>
      </c>
      <c r="Q8" t="s">
        <v>277</v>
      </c>
      <c r="R8" t="s">
        <v>375</v>
      </c>
      <c r="S8" t="s">
        <v>279</v>
      </c>
      <c r="T8" t="s">
        <v>280</v>
      </c>
      <c r="U8" t="s">
        <v>281</v>
      </c>
      <c r="V8" t="s">
        <v>366</v>
      </c>
      <c r="W8" t="s">
        <v>283</v>
      </c>
      <c r="X8" t="s">
        <v>284</v>
      </c>
      <c r="Y8" t="s">
        <v>285</v>
      </c>
      <c r="Z8" t="s">
        <v>335</v>
      </c>
      <c r="AA8" t="s">
        <v>279</v>
      </c>
      <c r="AB8" t="s">
        <v>287</v>
      </c>
      <c r="AC8" t="s">
        <v>288</v>
      </c>
      <c r="AD8" t="s">
        <v>376</v>
      </c>
      <c r="AE8" t="s">
        <v>279</v>
      </c>
      <c r="AF8" t="s">
        <v>290</v>
      </c>
      <c r="AG8" t="s">
        <v>174</v>
      </c>
      <c r="AH8" t="s">
        <v>377</v>
      </c>
      <c r="AI8" t="s">
        <v>292</v>
      </c>
      <c r="AJ8" t="s">
        <v>293</v>
      </c>
      <c r="AK8" t="s">
        <v>294</v>
      </c>
      <c r="AL8" t="s">
        <v>361</v>
      </c>
      <c r="AM8" t="s">
        <v>296</v>
      </c>
      <c r="AN8" t="s">
        <v>293</v>
      </c>
      <c r="AO8" t="s">
        <v>294</v>
      </c>
      <c r="AP8" t="s">
        <v>378</v>
      </c>
      <c r="AQ8" t="s">
        <v>298</v>
      </c>
      <c r="AR8" t="s">
        <v>299</v>
      </c>
      <c r="AS8" t="s">
        <v>300</v>
      </c>
      <c r="AT8" t="s">
        <v>379</v>
      </c>
      <c r="AU8" t="s">
        <v>298</v>
      </c>
      <c r="AV8" t="s">
        <v>302</v>
      </c>
      <c r="AW8" t="s">
        <v>284</v>
      </c>
      <c r="AX8" t="s">
        <v>339</v>
      </c>
      <c r="AY8" t="s">
        <v>298</v>
      </c>
      <c r="AZ8" t="s">
        <v>304</v>
      </c>
      <c r="BA8" t="s">
        <v>305</v>
      </c>
      <c r="BB8" t="s">
        <v>380</v>
      </c>
      <c r="BC8" t="s">
        <v>298</v>
      </c>
      <c r="BD8" t="s">
        <v>307</v>
      </c>
      <c r="BE8" t="s">
        <v>308</v>
      </c>
      <c r="BF8" t="s">
        <v>158</v>
      </c>
      <c r="BG8" t="s">
        <v>296</v>
      </c>
      <c r="BH8" t="s">
        <v>309</v>
      </c>
      <c r="BI8" t="s">
        <v>274</v>
      </c>
      <c r="BJ8" t="s">
        <v>376</v>
      </c>
      <c r="BK8" t="s">
        <v>296</v>
      </c>
      <c r="BL8" t="s">
        <v>308</v>
      </c>
      <c r="BM8" t="s">
        <v>310</v>
      </c>
      <c r="BN8" t="s">
        <v>297</v>
      </c>
      <c r="BO8" t="s">
        <v>312</v>
      </c>
      <c r="BP8" t="s">
        <v>313</v>
      </c>
      <c r="BQ8" t="s">
        <v>314</v>
      </c>
    </row>
    <row r="9" spans="1:69">
      <c r="A9">
        <v>1646835</v>
      </c>
      <c r="B9" t="s">
        <v>266</v>
      </c>
      <c r="C9" t="s">
        <v>267</v>
      </c>
      <c r="D9">
        <v>42.559722000000001</v>
      </c>
      <c r="E9" t="s">
        <v>268</v>
      </c>
      <c r="F9" t="s">
        <v>269</v>
      </c>
      <c r="G9" t="s">
        <v>268</v>
      </c>
      <c r="H9" t="s">
        <v>267</v>
      </c>
      <c r="I9" t="s">
        <v>167</v>
      </c>
      <c r="J9" t="s">
        <v>270</v>
      </c>
      <c r="K9" t="s">
        <v>271</v>
      </c>
      <c r="L9" t="s">
        <v>381</v>
      </c>
      <c r="M9" t="s">
        <v>273</v>
      </c>
      <c r="N9" t="s">
        <v>170</v>
      </c>
      <c r="O9" t="s">
        <v>275</v>
      </c>
      <c r="P9" t="s">
        <v>276</v>
      </c>
      <c r="Q9" t="s">
        <v>277</v>
      </c>
      <c r="R9" t="s">
        <v>305</v>
      </c>
      <c r="S9" t="s">
        <v>279</v>
      </c>
      <c r="T9" t="s">
        <v>280</v>
      </c>
      <c r="U9" t="s">
        <v>281</v>
      </c>
      <c r="V9" t="s">
        <v>382</v>
      </c>
      <c r="W9" t="s">
        <v>283</v>
      </c>
      <c r="X9" t="s">
        <v>284</v>
      </c>
      <c r="Y9" t="s">
        <v>285</v>
      </c>
      <c r="Z9" t="s">
        <v>383</v>
      </c>
      <c r="AA9" t="s">
        <v>279</v>
      </c>
      <c r="AB9" t="s">
        <v>287</v>
      </c>
      <c r="AC9" t="s">
        <v>288</v>
      </c>
      <c r="AD9" t="s">
        <v>384</v>
      </c>
      <c r="AE9" t="s">
        <v>279</v>
      </c>
      <c r="AF9" t="s">
        <v>290</v>
      </c>
      <c r="AG9" t="s">
        <v>174</v>
      </c>
      <c r="AH9" t="s">
        <v>385</v>
      </c>
      <c r="AI9" t="s">
        <v>292</v>
      </c>
      <c r="AJ9" t="s">
        <v>293</v>
      </c>
      <c r="AK9" t="s">
        <v>294</v>
      </c>
      <c r="AL9" t="s">
        <v>386</v>
      </c>
      <c r="AM9" t="s">
        <v>296</v>
      </c>
      <c r="AN9" t="s">
        <v>293</v>
      </c>
      <c r="AO9" t="s">
        <v>294</v>
      </c>
      <c r="AP9" t="s">
        <v>387</v>
      </c>
      <c r="AQ9" t="s">
        <v>298</v>
      </c>
      <c r="AR9" t="s">
        <v>299</v>
      </c>
      <c r="AS9" t="s">
        <v>300</v>
      </c>
      <c r="AT9" t="s">
        <v>388</v>
      </c>
      <c r="AU9" t="s">
        <v>298</v>
      </c>
      <c r="AV9" t="s">
        <v>302</v>
      </c>
      <c r="AW9" t="s">
        <v>284</v>
      </c>
      <c r="AX9" t="s">
        <v>389</v>
      </c>
      <c r="AY9" t="s">
        <v>298</v>
      </c>
      <c r="AZ9" t="s">
        <v>304</v>
      </c>
      <c r="BA9" t="s">
        <v>305</v>
      </c>
      <c r="BB9" t="s">
        <v>390</v>
      </c>
      <c r="BC9" t="s">
        <v>298</v>
      </c>
      <c r="BD9" t="s">
        <v>307</v>
      </c>
      <c r="BE9" t="s">
        <v>308</v>
      </c>
      <c r="BF9" t="s">
        <v>168</v>
      </c>
      <c r="BG9" t="s">
        <v>296</v>
      </c>
      <c r="BH9" t="s">
        <v>309</v>
      </c>
      <c r="BI9" t="s">
        <v>274</v>
      </c>
      <c r="BJ9" t="s">
        <v>391</v>
      </c>
      <c r="BK9" t="s">
        <v>296</v>
      </c>
      <c r="BL9" t="s">
        <v>308</v>
      </c>
      <c r="BM9" t="s">
        <v>310</v>
      </c>
      <c r="BN9" t="s">
        <v>392</v>
      </c>
      <c r="BO9" t="s">
        <v>312</v>
      </c>
      <c r="BP9" t="s">
        <v>313</v>
      </c>
      <c r="BQ9" t="s">
        <v>314</v>
      </c>
    </row>
    <row r="10" spans="1:69">
      <c r="A10">
        <v>1646820</v>
      </c>
      <c r="B10" t="s">
        <v>266</v>
      </c>
      <c r="C10" t="s">
        <v>267</v>
      </c>
      <c r="D10">
        <v>42.559722000000001</v>
      </c>
      <c r="E10" t="s">
        <v>268</v>
      </c>
      <c r="F10" t="s">
        <v>269</v>
      </c>
      <c r="G10" t="s">
        <v>268</v>
      </c>
      <c r="H10" t="s">
        <v>267</v>
      </c>
      <c r="I10" t="s">
        <v>163</v>
      </c>
      <c r="J10" t="s">
        <v>270</v>
      </c>
      <c r="K10" t="s">
        <v>271</v>
      </c>
      <c r="L10" t="s">
        <v>393</v>
      </c>
      <c r="M10" t="s">
        <v>316</v>
      </c>
      <c r="N10" t="s">
        <v>317</v>
      </c>
      <c r="O10" t="s">
        <v>275</v>
      </c>
      <c r="P10" t="s">
        <v>276</v>
      </c>
      <c r="Q10" t="s">
        <v>277</v>
      </c>
      <c r="R10" t="s">
        <v>290</v>
      </c>
      <c r="S10" t="s">
        <v>279</v>
      </c>
      <c r="T10" t="s">
        <v>280</v>
      </c>
      <c r="U10" t="s">
        <v>281</v>
      </c>
      <c r="V10" t="s">
        <v>394</v>
      </c>
      <c r="W10" t="s">
        <v>283</v>
      </c>
      <c r="X10" t="s">
        <v>284</v>
      </c>
      <c r="Y10" t="s">
        <v>285</v>
      </c>
      <c r="Z10" t="s">
        <v>377</v>
      </c>
      <c r="AA10" t="s">
        <v>279</v>
      </c>
      <c r="AB10" t="s">
        <v>287</v>
      </c>
      <c r="AC10" t="s">
        <v>288</v>
      </c>
      <c r="AD10" t="s">
        <v>289</v>
      </c>
      <c r="AE10" t="s">
        <v>279</v>
      </c>
      <c r="AF10" t="s">
        <v>290</v>
      </c>
      <c r="AG10" t="s">
        <v>174</v>
      </c>
      <c r="AH10" t="s">
        <v>395</v>
      </c>
      <c r="AI10" t="s">
        <v>292</v>
      </c>
      <c r="AJ10" t="s">
        <v>293</v>
      </c>
      <c r="AK10" t="s">
        <v>294</v>
      </c>
      <c r="AL10" t="s">
        <v>368</v>
      </c>
      <c r="AM10" t="s">
        <v>296</v>
      </c>
      <c r="AN10" t="s">
        <v>293</v>
      </c>
      <c r="AO10" t="s">
        <v>294</v>
      </c>
      <c r="AP10" t="s">
        <v>396</v>
      </c>
      <c r="AQ10" t="s">
        <v>298</v>
      </c>
      <c r="AR10" t="s">
        <v>299</v>
      </c>
      <c r="AS10" t="s">
        <v>300</v>
      </c>
      <c r="AT10" t="s">
        <v>397</v>
      </c>
      <c r="AU10" t="s">
        <v>298</v>
      </c>
      <c r="AV10" t="s">
        <v>302</v>
      </c>
      <c r="AW10" t="s">
        <v>284</v>
      </c>
      <c r="AX10" t="s">
        <v>398</v>
      </c>
      <c r="AY10" t="s">
        <v>298</v>
      </c>
      <c r="AZ10" t="s">
        <v>304</v>
      </c>
      <c r="BA10" t="s">
        <v>305</v>
      </c>
      <c r="BB10" t="s">
        <v>399</v>
      </c>
      <c r="BC10" t="s">
        <v>298</v>
      </c>
      <c r="BD10" t="s">
        <v>307</v>
      </c>
      <c r="BE10" t="s">
        <v>308</v>
      </c>
      <c r="BF10" t="s">
        <v>164</v>
      </c>
      <c r="BG10" t="s">
        <v>296</v>
      </c>
      <c r="BH10" t="s">
        <v>309</v>
      </c>
      <c r="BI10" t="s">
        <v>274</v>
      </c>
      <c r="BJ10" t="s">
        <v>384</v>
      </c>
      <c r="BK10" t="s">
        <v>296</v>
      </c>
      <c r="BL10" t="s">
        <v>308</v>
      </c>
      <c r="BM10" t="s">
        <v>310</v>
      </c>
      <c r="BN10" t="s">
        <v>400</v>
      </c>
      <c r="BO10" t="s">
        <v>312</v>
      </c>
      <c r="BP10" t="s">
        <v>313</v>
      </c>
      <c r="BQ10" t="s">
        <v>314</v>
      </c>
    </row>
    <row r="11" spans="1:69">
      <c r="A11">
        <v>1646803</v>
      </c>
      <c r="B11" t="s">
        <v>266</v>
      </c>
      <c r="C11" t="s">
        <v>267</v>
      </c>
      <c r="D11">
        <v>42.559722000000001</v>
      </c>
      <c r="E11" t="s">
        <v>268</v>
      </c>
      <c r="F11" t="s">
        <v>269</v>
      </c>
      <c r="G11" t="s">
        <v>268</v>
      </c>
      <c r="H11" t="s">
        <v>267</v>
      </c>
      <c r="I11" t="s">
        <v>165</v>
      </c>
      <c r="J11" t="s">
        <v>270</v>
      </c>
      <c r="K11" t="s">
        <v>271</v>
      </c>
      <c r="L11" t="s">
        <v>401</v>
      </c>
      <c r="M11" t="s">
        <v>316</v>
      </c>
      <c r="N11" t="s">
        <v>277</v>
      </c>
      <c r="O11" t="s">
        <v>275</v>
      </c>
      <c r="P11" t="s">
        <v>276</v>
      </c>
      <c r="Q11" t="s">
        <v>277</v>
      </c>
      <c r="R11" t="s">
        <v>290</v>
      </c>
      <c r="S11" t="s">
        <v>279</v>
      </c>
      <c r="T11" t="s">
        <v>280</v>
      </c>
      <c r="U11" t="s">
        <v>281</v>
      </c>
      <c r="V11" t="s">
        <v>332</v>
      </c>
      <c r="W11" t="s">
        <v>283</v>
      </c>
      <c r="X11" t="s">
        <v>284</v>
      </c>
      <c r="Y11" t="s">
        <v>285</v>
      </c>
      <c r="Z11" t="s">
        <v>402</v>
      </c>
      <c r="AA11" t="s">
        <v>279</v>
      </c>
      <c r="AB11" t="s">
        <v>287</v>
      </c>
      <c r="AC11" t="s">
        <v>288</v>
      </c>
      <c r="AD11" t="s">
        <v>403</v>
      </c>
      <c r="AE11" t="s">
        <v>279</v>
      </c>
      <c r="AF11" t="s">
        <v>290</v>
      </c>
      <c r="AG11" t="s">
        <v>174</v>
      </c>
      <c r="AH11" t="s">
        <v>404</v>
      </c>
      <c r="AI11" t="s">
        <v>292</v>
      </c>
      <c r="AJ11" t="s">
        <v>293</v>
      </c>
      <c r="AK11" t="s">
        <v>294</v>
      </c>
      <c r="AL11" t="s">
        <v>368</v>
      </c>
      <c r="AM11" t="s">
        <v>296</v>
      </c>
      <c r="AN11" t="s">
        <v>293</v>
      </c>
      <c r="AO11" t="s">
        <v>294</v>
      </c>
      <c r="AP11" t="s">
        <v>405</v>
      </c>
      <c r="AQ11" t="s">
        <v>298</v>
      </c>
      <c r="AR11" t="s">
        <v>299</v>
      </c>
      <c r="AS11" t="s">
        <v>300</v>
      </c>
      <c r="AT11" t="s">
        <v>406</v>
      </c>
      <c r="AU11" t="s">
        <v>298</v>
      </c>
      <c r="AV11" t="s">
        <v>302</v>
      </c>
      <c r="AW11" t="s">
        <v>284</v>
      </c>
      <c r="AX11" t="s">
        <v>317</v>
      </c>
      <c r="AY11" t="s">
        <v>298</v>
      </c>
      <c r="AZ11" t="s">
        <v>304</v>
      </c>
      <c r="BA11" t="s">
        <v>305</v>
      </c>
      <c r="BB11" t="s">
        <v>407</v>
      </c>
      <c r="BC11" t="s">
        <v>298</v>
      </c>
      <c r="BD11" t="s">
        <v>307</v>
      </c>
      <c r="BE11" t="s">
        <v>308</v>
      </c>
      <c r="BF11" t="s">
        <v>166</v>
      </c>
      <c r="BG11" t="s">
        <v>296</v>
      </c>
      <c r="BH11" t="s">
        <v>309</v>
      </c>
      <c r="BI11" t="s">
        <v>274</v>
      </c>
      <c r="BJ11" t="s">
        <v>404</v>
      </c>
      <c r="BK11" t="s">
        <v>296</v>
      </c>
      <c r="BL11" t="s">
        <v>308</v>
      </c>
      <c r="BM11" t="s">
        <v>310</v>
      </c>
      <c r="BN11" t="s">
        <v>408</v>
      </c>
      <c r="BO11" t="s">
        <v>312</v>
      </c>
      <c r="BP11" t="s">
        <v>313</v>
      </c>
      <c r="BQ11" t="s">
        <v>314</v>
      </c>
    </row>
    <row r="12" spans="1:69">
      <c r="A12">
        <v>1646529</v>
      </c>
      <c r="B12" t="s">
        <v>266</v>
      </c>
      <c r="C12" t="s">
        <v>267</v>
      </c>
      <c r="D12">
        <v>42.559722000000001</v>
      </c>
      <c r="E12" t="s">
        <v>268</v>
      </c>
      <c r="F12" t="s">
        <v>269</v>
      </c>
      <c r="G12" t="s">
        <v>268</v>
      </c>
      <c r="H12" t="s">
        <v>267</v>
      </c>
      <c r="I12" t="s">
        <v>173</v>
      </c>
      <c r="J12" t="s">
        <v>270</v>
      </c>
      <c r="K12" t="s">
        <v>271</v>
      </c>
      <c r="L12" t="s">
        <v>409</v>
      </c>
      <c r="M12" t="s">
        <v>273</v>
      </c>
      <c r="N12" t="s">
        <v>317</v>
      </c>
      <c r="O12" t="s">
        <v>275</v>
      </c>
      <c r="P12" t="s">
        <v>276</v>
      </c>
      <c r="Q12" t="s">
        <v>277</v>
      </c>
      <c r="R12" t="s">
        <v>410</v>
      </c>
      <c r="S12" t="s">
        <v>279</v>
      </c>
      <c r="T12" t="s">
        <v>280</v>
      </c>
      <c r="U12" t="s">
        <v>281</v>
      </c>
      <c r="V12" t="s">
        <v>411</v>
      </c>
      <c r="W12" t="s">
        <v>283</v>
      </c>
      <c r="X12" t="s">
        <v>284</v>
      </c>
      <c r="Y12" t="s">
        <v>285</v>
      </c>
      <c r="Z12" t="s">
        <v>412</v>
      </c>
      <c r="AA12" t="s">
        <v>279</v>
      </c>
      <c r="AB12" t="s">
        <v>287</v>
      </c>
      <c r="AC12" t="s">
        <v>288</v>
      </c>
      <c r="AD12" t="s">
        <v>334</v>
      </c>
      <c r="AE12" t="s">
        <v>279</v>
      </c>
      <c r="AF12" t="s">
        <v>290</v>
      </c>
      <c r="AG12" t="s">
        <v>174</v>
      </c>
      <c r="AH12" t="s">
        <v>413</v>
      </c>
      <c r="AI12" t="s">
        <v>292</v>
      </c>
      <c r="AJ12" t="s">
        <v>293</v>
      </c>
      <c r="AK12" t="s">
        <v>294</v>
      </c>
      <c r="AL12" t="s">
        <v>295</v>
      </c>
      <c r="AM12" t="s">
        <v>296</v>
      </c>
      <c r="AN12" t="s">
        <v>293</v>
      </c>
      <c r="AO12" t="s">
        <v>294</v>
      </c>
      <c r="AP12" t="s">
        <v>414</v>
      </c>
      <c r="AQ12" t="s">
        <v>298</v>
      </c>
      <c r="AR12" t="s">
        <v>299</v>
      </c>
      <c r="AS12" t="s">
        <v>300</v>
      </c>
      <c r="AT12" t="s">
        <v>415</v>
      </c>
      <c r="AU12" t="s">
        <v>298</v>
      </c>
      <c r="AV12" t="s">
        <v>302</v>
      </c>
      <c r="AW12" t="s">
        <v>284</v>
      </c>
      <c r="AX12" t="s">
        <v>416</v>
      </c>
      <c r="AY12" t="s">
        <v>298</v>
      </c>
      <c r="AZ12" t="s">
        <v>304</v>
      </c>
      <c r="BA12" t="s">
        <v>305</v>
      </c>
      <c r="BB12" t="s">
        <v>333</v>
      </c>
      <c r="BC12" t="s">
        <v>298</v>
      </c>
      <c r="BD12" t="s">
        <v>307</v>
      </c>
      <c r="BE12" t="s">
        <v>308</v>
      </c>
      <c r="BF12" t="s">
        <v>174</v>
      </c>
      <c r="BG12" t="s">
        <v>296</v>
      </c>
      <c r="BH12" t="s">
        <v>309</v>
      </c>
      <c r="BI12" t="s">
        <v>274</v>
      </c>
      <c r="BJ12" t="s">
        <v>417</v>
      </c>
      <c r="BK12" t="s">
        <v>296</v>
      </c>
      <c r="BL12" t="s">
        <v>308</v>
      </c>
      <c r="BM12" t="s">
        <v>310</v>
      </c>
      <c r="BN12" t="s">
        <v>418</v>
      </c>
      <c r="BO12" t="s">
        <v>312</v>
      </c>
      <c r="BP12" t="s">
        <v>313</v>
      </c>
      <c r="BQ12" t="s">
        <v>314</v>
      </c>
    </row>
    <row r="13" spans="1:69">
      <c r="A13">
        <v>1646487</v>
      </c>
      <c r="B13" t="s">
        <v>266</v>
      </c>
      <c r="C13" t="s">
        <v>267</v>
      </c>
      <c r="D13">
        <v>42.523611000000002</v>
      </c>
      <c r="E13" t="s">
        <v>419</v>
      </c>
      <c r="F13" t="s">
        <v>420</v>
      </c>
      <c r="G13" t="s">
        <v>419</v>
      </c>
      <c r="H13" t="s">
        <v>267</v>
      </c>
      <c r="I13" t="s">
        <v>161</v>
      </c>
      <c r="J13" t="s">
        <v>270</v>
      </c>
      <c r="K13" t="s">
        <v>271</v>
      </c>
      <c r="L13" t="s">
        <v>421</v>
      </c>
      <c r="M13" t="s">
        <v>352</v>
      </c>
      <c r="N13" t="s">
        <v>416</v>
      </c>
      <c r="O13" t="s">
        <v>275</v>
      </c>
      <c r="P13" t="s">
        <v>276</v>
      </c>
      <c r="Q13" t="s">
        <v>277</v>
      </c>
      <c r="R13" t="s">
        <v>422</v>
      </c>
      <c r="S13" t="s">
        <v>279</v>
      </c>
      <c r="T13" t="s">
        <v>280</v>
      </c>
      <c r="U13" t="s">
        <v>281</v>
      </c>
      <c r="V13" t="s">
        <v>332</v>
      </c>
      <c r="W13" t="s">
        <v>283</v>
      </c>
      <c r="X13" t="s">
        <v>284</v>
      </c>
      <c r="Y13" t="s">
        <v>285</v>
      </c>
      <c r="Z13" t="s">
        <v>289</v>
      </c>
      <c r="AA13" t="s">
        <v>279</v>
      </c>
      <c r="AB13" t="s">
        <v>287</v>
      </c>
      <c r="AC13" t="s">
        <v>288</v>
      </c>
      <c r="AD13" t="s">
        <v>417</v>
      </c>
      <c r="AE13" t="s">
        <v>279</v>
      </c>
      <c r="AF13" t="s">
        <v>290</v>
      </c>
      <c r="AG13" t="s">
        <v>174</v>
      </c>
      <c r="AH13" t="s">
        <v>423</v>
      </c>
      <c r="AI13" t="s">
        <v>292</v>
      </c>
      <c r="AJ13" t="s">
        <v>293</v>
      </c>
      <c r="AK13" t="s">
        <v>294</v>
      </c>
      <c r="AL13" t="s">
        <v>158</v>
      </c>
      <c r="AM13" t="s">
        <v>296</v>
      </c>
      <c r="AN13" t="s">
        <v>293</v>
      </c>
      <c r="AO13" t="s">
        <v>294</v>
      </c>
      <c r="AP13" t="s">
        <v>424</v>
      </c>
      <c r="AQ13" t="s">
        <v>298</v>
      </c>
      <c r="AR13" t="s">
        <v>299</v>
      </c>
      <c r="AS13" t="s">
        <v>300</v>
      </c>
      <c r="AT13" t="s">
        <v>425</v>
      </c>
      <c r="AU13" t="s">
        <v>298</v>
      </c>
      <c r="AV13" t="s">
        <v>302</v>
      </c>
      <c r="AW13" t="s">
        <v>284</v>
      </c>
      <c r="AX13" t="s">
        <v>426</v>
      </c>
      <c r="AY13" t="s">
        <v>298</v>
      </c>
      <c r="AZ13" t="s">
        <v>304</v>
      </c>
      <c r="BA13" t="s">
        <v>305</v>
      </c>
      <c r="BB13" t="s">
        <v>289</v>
      </c>
      <c r="BC13" t="s">
        <v>298</v>
      </c>
      <c r="BD13" t="s">
        <v>307</v>
      </c>
      <c r="BE13" t="s">
        <v>308</v>
      </c>
      <c r="BF13" t="s">
        <v>162</v>
      </c>
      <c r="BG13" t="s">
        <v>296</v>
      </c>
      <c r="BH13" t="s">
        <v>309</v>
      </c>
      <c r="BI13" t="s">
        <v>274</v>
      </c>
      <c r="BJ13" t="s">
        <v>357</v>
      </c>
      <c r="BK13" t="s">
        <v>296</v>
      </c>
      <c r="BL13" t="s">
        <v>308</v>
      </c>
      <c r="BM13" t="s">
        <v>310</v>
      </c>
      <c r="BN13" t="s">
        <v>425</v>
      </c>
      <c r="BO13" t="s">
        <v>312</v>
      </c>
      <c r="BP13" t="s">
        <v>313</v>
      </c>
      <c r="BQ1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2025-09-07T14:07:35Z</dcterms:created>
  <dcterms:modified xsi:type="dcterms:W3CDTF">2025-09-25T17:07:04Z</dcterms:modified>
  <cp:category/>
  <cp:contentStatus/>
</cp:coreProperties>
</file>